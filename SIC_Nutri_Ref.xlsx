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ejandro.pastor\Documents\SIC\2026\Claude_SIC\"/>
    </mc:Choice>
  </mc:AlternateContent>
  <xr:revisionPtr revIDLastSave="0" documentId="13_ncr:1_{1D1C7C62-30EC-41D6-9BC9-822BA74CAA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 " sheetId="6" r:id="rId1"/>
  </sheets>
  <definedNames>
    <definedName name="_xlnm._FilterDatabase" localSheetId="0" hidden="1">'PS '!$A$1:$Z$980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9" i="6" l="1"/>
  <c r="M289" i="6"/>
  <c r="M279" i="6"/>
  <c r="M214" i="6"/>
  <c r="M225" i="6"/>
  <c r="M313" i="6"/>
  <c r="M260" i="6"/>
  <c r="M258" i="6"/>
  <c r="M288" i="6"/>
  <c r="M251" i="6"/>
  <c r="M257" i="6"/>
  <c r="M273" i="6"/>
  <c r="M237" i="6"/>
  <c r="M334" i="6"/>
  <c r="M331" i="6"/>
  <c r="M278" i="6"/>
  <c r="M256" i="6"/>
  <c r="M255" i="6"/>
  <c r="M312" i="6"/>
  <c r="M266" i="6"/>
  <c r="M236" i="6"/>
  <c r="M224" i="6"/>
  <c r="M323" i="6"/>
  <c r="M276" i="6"/>
  <c r="M235" i="6"/>
  <c r="M290" i="6"/>
  <c r="M234" i="6"/>
  <c r="M322" i="6"/>
  <c r="M272" i="6"/>
  <c r="M254" i="6"/>
  <c r="M233" i="6"/>
  <c r="M306" i="6"/>
  <c r="M223" i="6"/>
  <c r="M305" i="6"/>
  <c r="M265" i="6"/>
  <c r="M222" i="6"/>
  <c r="M232" i="6"/>
  <c r="M311" i="6"/>
  <c r="M250" i="6"/>
  <c r="M286" i="6"/>
  <c r="M231" i="6"/>
  <c r="M296" i="6"/>
  <c r="M249" i="6"/>
  <c r="M248" i="6"/>
  <c r="M210" i="6"/>
  <c r="M328" i="6"/>
  <c r="M295" i="6"/>
  <c r="M247" i="6"/>
  <c r="M246" i="6"/>
  <c r="M221" i="6"/>
  <c r="M330" i="6"/>
  <c r="M294" i="6"/>
  <c r="M245" i="6"/>
  <c r="M304" i="6"/>
  <c r="M264" i="6"/>
  <c r="M220" i="6"/>
  <c r="M303" i="6"/>
  <c r="M293" i="6"/>
  <c r="M230" i="6"/>
  <c r="M217" i="6"/>
  <c r="M216" i="6"/>
  <c r="M238" i="6"/>
  <c r="M270" i="6"/>
  <c r="M229" i="6"/>
  <c r="M244" i="6"/>
  <c r="M309" i="6"/>
  <c r="M284" i="6"/>
  <c r="M253" i="6"/>
  <c r="M243" i="6"/>
  <c r="M219" i="6"/>
  <c r="M327" i="6"/>
  <c r="M242" i="6"/>
  <c r="M292" i="6"/>
  <c r="M228" i="6"/>
  <c r="M301" i="6"/>
  <c r="M261" i="6"/>
  <c r="M227" i="6"/>
  <c r="M291" i="6"/>
  <c r="M241" i="6"/>
  <c r="M226" i="6"/>
  <c r="M240" i="6"/>
  <c r="M283" i="6"/>
  <c r="M252" i="6"/>
  <c r="M267" i="6"/>
  <c r="M218" i="6"/>
  <c r="M215" i="6"/>
  <c r="M67" i="6"/>
  <c r="M14" i="6"/>
  <c r="M31" i="6"/>
  <c r="M10" i="6"/>
  <c r="M9" i="6"/>
  <c r="M40" i="6"/>
  <c r="M25" i="6"/>
  <c r="M71" i="6"/>
  <c r="M45" i="6"/>
  <c r="M34" i="6"/>
  <c r="M85" i="6"/>
  <c r="M78" i="6"/>
  <c r="M64" i="6"/>
  <c r="M39" i="6"/>
  <c r="M27" i="6"/>
  <c r="M8" i="6"/>
  <c r="M75" i="6"/>
  <c r="M61" i="6"/>
  <c r="M35" i="6"/>
  <c r="M7" i="6"/>
  <c r="M212" i="6"/>
  <c r="M181" i="6"/>
  <c r="M162" i="6"/>
  <c r="M18" i="6"/>
  <c r="M22" i="6"/>
  <c r="M53" i="6"/>
  <c r="M38" i="6"/>
  <c r="M4" i="6"/>
  <c r="M13" i="6"/>
  <c r="M80" i="6"/>
  <c r="M59" i="6"/>
  <c r="M37" i="6"/>
  <c r="M21" i="6"/>
  <c r="M84" i="6"/>
  <c r="M63" i="6"/>
  <c r="M49" i="6"/>
  <c r="M33" i="6"/>
  <c r="M17" i="6"/>
  <c r="M81" i="6"/>
  <c r="M77" i="6"/>
  <c r="M55" i="6"/>
  <c r="M26" i="6"/>
  <c r="M6" i="6"/>
  <c r="M76" i="6"/>
  <c r="M70" i="6"/>
  <c r="M57" i="6"/>
  <c r="M51" i="6"/>
  <c r="M42" i="6"/>
  <c r="M30" i="6"/>
  <c r="M20" i="6"/>
  <c r="M3" i="6"/>
  <c r="M66" i="6"/>
  <c r="M56" i="6"/>
  <c r="M48" i="6"/>
  <c r="M36" i="6"/>
  <c r="M16" i="6"/>
  <c r="M54" i="6"/>
  <c r="M83" i="6"/>
  <c r="M79" i="6"/>
  <c r="M58" i="6"/>
  <c r="M44" i="6"/>
  <c r="M29" i="6"/>
  <c r="M12" i="6"/>
  <c r="M41" i="6"/>
  <c r="M28" i="6"/>
  <c r="M11" i="6"/>
  <c r="M60" i="6"/>
  <c r="M47" i="6"/>
  <c r="M24" i="6"/>
  <c r="M5" i="6"/>
  <c r="M68" i="6"/>
  <c r="M32" i="6"/>
  <c r="M15" i="6"/>
  <c r="M82" i="6"/>
  <c r="M73" i="6"/>
  <c r="M65" i="6"/>
  <c r="M19" i="6"/>
  <c r="M62" i="6"/>
  <c r="M52" i="6"/>
  <c r="M46" i="6"/>
  <c r="M23" i="6"/>
  <c r="M2" i="6"/>
  <c r="M208" i="6"/>
  <c r="M197" i="6"/>
  <c r="M196" i="6"/>
  <c r="M195" i="6"/>
  <c r="M194" i="6"/>
  <c r="M193" i="6"/>
  <c r="M192" i="6"/>
  <c r="M180" i="6"/>
  <c r="M159" i="6"/>
  <c r="M141" i="6"/>
  <c r="M191" i="6"/>
  <c r="M179" i="6"/>
  <c r="M153" i="6"/>
  <c r="M144" i="6"/>
  <c r="M126" i="6"/>
  <c r="M117" i="6"/>
  <c r="M102" i="6"/>
  <c r="M158" i="6"/>
  <c r="M125" i="6"/>
  <c r="M116" i="6"/>
  <c r="M108" i="6"/>
  <c r="M135" i="6"/>
  <c r="M101" i="6"/>
  <c r="M207" i="6"/>
  <c r="M147" i="6"/>
  <c r="M130" i="6"/>
  <c r="M152" i="6"/>
  <c r="M143" i="6"/>
  <c r="M129" i="6"/>
  <c r="M100" i="6"/>
  <c r="M151" i="6"/>
  <c r="M189" i="6"/>
  <c r="M134" i="6"/>
  <c r="M119" i="6"/>
  <c r="M188" i="6"/>
  <c r="M169" i="6"/>
  <c r="M206" i="6"/>
  <c r="M168" i="6"/>
  <c r="M140" i="6"/>
  <c r="M128" i="6"/>
  <c r="M187" i="6"/>
  <c r="M167" i="6"/>
  <c r="M157" i="6"/>
  <c r="M139" i="6"/>
  <c r="M124" i="6"/>
  <c r="M93" i="6"/>
  <c r="M178" i="6"/>
  <c r="M87" i="6"/>
  <c r="M99" i="6"/>
  <c r="M205" i="6"/>
  <c r="M177" i="6"/>
  <c r="M161" i="6"/>
  <c r="M186" i="6"/>
  <c r="M185" i="6"/>
  <c r="M176" i="6"/>
  <c r="M115" i="6"/>
  <c r="M92" i="6"/>
  <c r="M204" i="6"/>
  <c r="M175" i="6"/>
  <c r="M127" i="6"/>
  <c r="M91" i="6"/>
  <c r="M98" i="6"/>
  <c r="M174" i="6"/>
  <c r="M133" i="6"/>
  <c r="M114" i="6"/>
  <c r="M97" i="6"/>
  <c r="M203" i="6"/>
  <c r="M118" i="6"/>
  <c r="M202" i="6"/>
  <c r="M96" i="6"/>
  <c r="M184" i="6"/>
  <c r="M166" i="6"/>
  <c r="M156" i="6"/>
  <c r="M123" i="6"/>
  <c r="M112" i="6"/>
  <c r="M90" i="6"/>
  <c r="M201" i="6"/>
  <c r="M173" i="6"/>
  <c r="M155" i="6"/>
  <c r="M136" i="6"/>
  <c r="M111" i="6"/>
  <c r="M107" i="6"/>
  <c r="M200" i="6"/>
  <c r="M110" i="6"/>
  <c r="M105" i="6"/>
  <c r="M165" i="6"/>
  <c r="M150" i="6"/>
  <c r="M138" i="6"/>
  <c r="M122" i="6"/>
  <c r="M183" i="6"/>
  <c r="M149" i="6"/>
  <c r="M121" i="6"/>
  <c r="M109" i="6"/>
  <c r="M89" i="6"/>
  <c r="M95" i="6"/>
  <c r="M172" i="6"/>
  <c r="M154" i="6"/>
  <c r="M142" i="6"/>
  <c r="M132" i="6"/>
  <c r="M106" i="6"/>
  <c r="M171" i="6"/>
  <c r="M146" i="6"/>
  <c r="M131" i="6"/>
  <c r="M88" i="6"/>
  <c r="M198" i="6"/>
  <c r="M163" i="6"/>
  <c r="M145" i="6"/>
  <c r="M120" i="6"/>
  <c r="M113" i="6"/>
  <c r="M160" i="6"/>
  <c r="M148" i="6"/>
  <c r="M137" i="6"/>
</calcChain>
</file>

<file path=xl/sharedStrings.xml><?xml version="1.0" encoding="utf-8"?>
<sst xmlns="http://schemas.openxmlformats.org/spreadsheetml/2006/main" count="680" uniqueCount="100">
  <si>
    <t>Jugador</t>
  </si>
  <si>
    <t>Puesto</t>
  </si>
  <si>
    <t>Fecha</t>
  </si>
  <si>
    <t>Masa adiposa</t>
  </si>
  <si>
    <t>Masa muscular</t>
  </si>
  <si>
    <t>Masa Residual</t>
  </si>
  <si>
    <t>Masa ósea</t>
  </si>
  <si>
    <t>Masa de la piel</t>
  </si>
  <si>
    <t>Peso (kg)</t>
  </si>
  <si>
    <t>Talla (cm)</t>
  </si>
  <si>
    <t>Score z-adiposo</t>
  </si>
  <si>
    <t>Sumatoria Pliegues (mm)</t>
  </si>
  <si>
    <t>IM/O</t>
  </si>
  <si>
    <t>Observaciones</t>
  </si>
  <si>
    <t>Nicanor Acosta</t>
  </si>
  <si>
    <t>Wing</t>
  </si>
  <si>
    <t>Centro</t>
  </si>
  <si>
    <t>Ignacio Bottazzini</t>
  </si>
  <si>
    <t>Hooker</t>
  </si>
  <si>
    <t>Mateo Albanese</t>
  </si>
  <si>
    <t>Medio Scrum</t>
  </si>
  <si>
    <t>Francisco Calandra</t>
  </si>
  <si>
    <t>Pilar</t>
  </si>
  <si>
    <t>Jacinto Campbell</t>
  </si>
  <si>
    <t>Benjamin Chiappe</t>
  </si>
  <si>
    <t>Franco Delger</t>
  </si>
  <si>
    <t>Tercera Linea</t>
  </si>
  <si>
    <t>Alejandro Daireaux</t>
  </si>
  <si>
    <t>Santos Fernandez de Oliveira</t>
  </si>
  <si>
    <t>Segunda Linea</t>
  </si>
  <si>
    <t>Bernabe Lopez Fleming</t>
  </si>
  <si>
    <t>Tomas Meyrelles</t>
  </si>
  <si>
    <t>Andrea Panzarini</t>
  </si>
  <si>
    <t>Santiago Pavlovsky</t>
  </si>
  <si>
    <t>Apertura</t>
  </si>
  <si>
    <t>Carlos Piran</t>
  </si>
  <si>
    <t>Ciro Plorutti</t>
  </si>
  <si>
    <t>Agustin Sascaro</t>
  </si>
  <si>
    <t>Timoteo Silva</t>
  </si>
  <si>
    <t>Fullback</t>
  </si>
  <si>
    <t>Bautista Viero</t>
  </si>
  <si>
    <t>Ignacio Villegas Leiva</t>
  </si>
  <si>
    <t>Ignacio Coelho</t>
  </si>
  <si>
    <t>Manuel Curuchaga</t>
  </si>
  <si>
    <t>Agustin Garcia Herdt</t>
  </si>
  <si>
    <t>Felipe Ledesma</t>
  </si>
  <si>
    <t>Tadeo Ledesma Arocena</t>
  </si>
  <si>
    <t>Facundo Madero</t>
  </si>
  <si>
    <t>Alberto Miguens</t>
  </si>
  <si>
    <t>Tomas Legarre Matera</t>
  </si>
  <si>
    <t>Santos Rubio</t>
  </si>
  <si>
    <t>Mateo Busso</t>
  </si>
  <si>
    <t>Simon Fitz Gerald</t>
  </si>
  <si>
    <t>Tomas Ayerza</t>
  </si>
  <si>
    <t>Tomas Longo</t>
  </si>
  <si>
    <t>Yunus Fadiloglu</t>
  </si>
  <si>
    <t>Joaquín León Alderete</t>
  </si>
  <si>
    <t>Segunda linea</t>
  </si>
  <si>
    <t>Bautista Delor</t>
  </si>
  <si>
    <t>Tomas Tempone</t>
  </si>
  <si>
    <t>Agustin Corral</t>
  </si>
  <si>
    <t>Agustin Carvajal</t>
  </si>
  <si>
    <t>Enzo Salvucci</t>
  </si>
  <si>
    <t>Eugenio Rubio</t>
  </si>
  <si>
    <t>Facundo Pietranera</t>
  </si>
  <si>
    <t>Felipe Rubio</t>
  </si>
  <si>
    <t>Felipe Sascaro</t>
  </si>
  <si>
    <t>Francisco Gomez Cruz</t>
  </si>
  <si>
    <t>Francisco Gonzalez Capdevilla</t>
  </si>
  <si>
    <t>Francisco Gutierrez Ketelhohn</t>
  </si>
  <si>
    <t>Ignacio Pereyra Moine</t>
  </si>
  <si>
    <t>Ignacio Pereyra</t>
  </si>
  <si>
    <t>Jaime Gilligan</t>
  </si>
  <si>
    <t>Luca Lorenzetti</t>
  </si>
  <si>
    <t>Marcos Piccinini</t>
  </si>
  <si>
    <t>Lucas Albanese</t>
  </si>
  <si>
    <t>Lucas Rocha</t>
  </si>
  <si>
    <t>Luciano Emiliani</t>
  </si>
  <si>
    <t>Marcos Longo</t>
  </si>
  <si>
    <t>Marcos Rodriguez Gauxax</t>
  </si>
  <si>
    <t>Alvaro Istueta</t>
  </si>
  <si>
    <t>Tomas Serrano</t>
  </si>
  <si>
    <t>Facundo Carvajal</t>
  </si>
  <si>
    <t>Felipe Gomez Leiva</t>
  </si>
  <si>
    <t>Manuel Ibañez Belaustegui</t>
  </si>
  <si>
    <t>Ignacio Noel</t>
  </si>
  <si>
    <t>Lucas Ledesma</t>
  </si>
  <si>
    <t>Juan Cruz Bergallo</t>
  </si>
  <si>
    <t>Fermín Salmain</t>
  </si>
  <si>
    <t>Marcos Olavarria</t>
  </si>
  <si>
    <t>Ignacio Pietranera</t>
  </si>
  <si>
    <t>Alejo Rivarola</t>
  </si>
  <si>
    <t>Facundo Miguens</t>
  </si>
  <si>
    <t>Juan Segundo Soares Gache</t>
  </si>
  <si>
    <t>Gregorio Perez Pardo</t>
  </si>
  <si>
    <t>Juan Mateo Busso</t>
  </si>
  <si>
    <t>Fermin Pereyra</t>
  </si>
  <si>
    <t>Agustín Tognela</t>
  </si>
  <si>
    <t xml:space="preserve">Pilar </t>
  </si>
  <si>
    <t xml:space="preserve">Joaquin Leon Alderete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</si>
</sst>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"/>
    <numFmt numFmtId="165" formatCode="0.0"/>
    <numFmt numFmtId="166" formatCode="d/m/yyyy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0" xfId="0" applyFont="1"/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2" fillId="2" borderId="0" xfId="0" applyFont="1" applyFill="1"/>
    <xf numFmtId="164" fontId="2" fillId="0" borderId="0" xfId="0" applyNumberFormat="1" applyFont="1" applyAlignment="1">
      <alignment horizontal="center"/>
    </xf>
    <xf numFmtId="0" fontId="5" fillId="0" borderId="0" xfId="0" applyFont="1"/>
    <xf numFmtId="165" fontId="5" fillId="0" borderId="0" xfId="0" applyNumberFormat="1" applyFont="1"/>
    <xf numFmtId="164" fontId="2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4" fontId="3" fillId="0" borderId="0" xfId="0" applyNumberFormat="1" applyFont="1" applyAlignment="1">
      <alignment horizontal="center"/>
    </xf>
    <xf numFmtId="0" fontId="2" fillId="3" borderId="0" xfId="0" applyFont="1" applyFill="1"/>
    <xf numFmtId="165" fontId="2" fillId="0" borderId="0" xfId="0" applyNumberFormat="1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6">
    <tableStyle name="2026-style" pivot="0" count="2" xr9:uid="{00000000-0011-0000-FFFF-FFFF00000000}">
      <tableStyleElement type="firstRowStripe" dxfId="11"/>
      <tableStyleElement type="secondRowStripe" dxfId="10"/>
    </tableStyle>
    <tableStyle name="SEMAFORO JUN 2026-style" pivot="0" count="2" xr9:uid="{00000000-0011-0000-FFFF-FFFF01000000}">
      <tableStyleElement type="firstRowStripe" dxfId="9"/>
      <tableStyleElement type="secondRowStripe" dxfId="8"/>
    </tableStyle>
    <tableStyle name="2026-style 2" pivot="0" count="2" xr9:uid="{00000000-0011-0000-FFFF-FFFF02000000}">
      <tableStyleElement type="firstRowStripe" dxfId="7"/>
      <tableStyleElement type="secondRowStripe" dxfId="6"/>
    </tableStyle>
    <tableStyle name="SEMAFORO JUN 2026-style 2" pivot="0" count="2" xr9:uid="{00000000-0011-0000-FFFF-FFFF03000000}">
      <tableStyleElement type="firstRowStripe" dxfId="5"/>
      <tableStyleElement type="secondRowStripe" dxfId="4"/>
    </tableStyle>
    <tableStyle name="2026-style 3" pivot="0" count="2" xr9:uid="{00000000-0011-0000-FFFF-FFFF04000000}">
      <tableStyleElement type="firstRowStripe" dxfId="3"/>
      <tableStyleElement type="secondRowStripe" dxfId="2"/>
    </tableStyle>
    <tableStyle name="SEMAFORO JUN 2026-style 3" pivot="0" count="2" xr9:uid="{00000000-0011-0000-FFFF-FFFF05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980"/>
  <sheetViews>
    <sheetView tabSelected="1" workbookViewId="0">
      <selection activeCell="H7" sqref="H7"/>
    </sheetView>
  </sheetViews>
  <sheetFormatPr defaultColWidth="12.6640625" defaultRowHeight="15.75" customHeight="1" x14ac:dyDescent="0.25"/>
  <cols>
    <col min="1" max="1" width="28.77734375" bestFit="1" customWidth="1"/>
    <col min="2" max="2" width="14.5546875" bestFit="1" customWidth="1"/>
    <col min="3" max="3" width="11.33203125" bestFit="1" customWidth="1"/>
    <col min="4" max="4" width="18" bestFit="1" customWidth="1"/>
    <col min="5" max="5" width="19" bestFit="1" customWidth="1"/>
    <col min="6" max="6" width="18.77734375" bestFit="1" customWidth="1"/>
    <col min="7" max="7" width="15.21875" bestFit="1" customWidth="1"/>
    <col min="8" max="8" width="19" customWidth="1"/>
    <col min="9" max="9" width="14" bestFit="1" customWidth="1"/>
    <col min="10" max="10" width="14.33203125" bestFit="1" customWidth="1"/>
    <col min="11" max="11" width="19.88671875" bestFit="1" customWidth="1"/>
    <col min="12" max="12" width="28" bestFit="1" customWidth="1"/>
    <col min="13" max="13" width="9.6640625" style="21" bestFit="1" customWidth="1"/>
    <col min="14" max="14" width="16.6640625" bestFit="1" customWidth="1"/>
  </cols>
  <sheetData>
    <row r="1" spans="1:14" ht="13.8" x14ac:dyDescent="0.25">
      <c r="A1" s="2" t="s">
        <v>0</v>
      </c>
      <c r="B1" s="3" t="s">
        <v>1</v>
      </c>
      <c r="C1" s="1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20" t="s">
        <v>12</v>
      </c>
      <c r="N1" s="3" t="s">
        <v>13</v>
      </c>
    </row>
    <row r="2" spans="1:14" ht="14.4" x14ac:dyDescent="0.3">
      <c r="A2" s="13" t="s">
        <v>14</v>
      </c>
      <c r="B2" s="13" t="s">
        <v>15</v>
      </c>
      <c r="C2" s="15">
        <v>45330</v>
      </c>
      <c r="D2" s="2">
        <v>13.3</v>
      </c>
      <c r="E2" s="2">
        <v>45.5</v>
      </c>
      <c r="F2" s="2">
        <v>10</v>
      </c>
      <c r="G2" s="2">
        <v>8.8000000000000007</v>
      </c>
      <c r="H2" s="2">
        <v>4.0999999999999996</v>
      </c>
      <c r="I2" s="2">
        <v>81.7</v>
      </c>
      <c r="J2" s="2">
        <v>182</v>
      </c>
      <c r="K2" s="2">
        <v>-2.4300000000000002</v>
      </c>
      <c r="L2" s="2">
        <v>34.5</v>
      </c>
      <c r="M2" s="14">
        <f t="shared" ref="M2:M42" si="0">E2/G2</f>
        <v>5.170454545454545</v>
      </c>
      <c r="N2" s="13"/>
    </row>
    <row r="3" spans="1:14" ht="14.4" x14ac:dyDescent="0.3">
      <c r="A3" s="13" t="s">
        <v>32</v>
      </c>
      <c r="B3" s="13" t="s">
        <v>26</v>
      </c>
      <c r="C3" s="15">
        <v>45330</v>
      </c>
      <c r="D3" s="2">
        <v>25.4</v>
      </c>
      <c r="E3" s="2">
        <v>51.5</v>
      </c>
      <c r="F3" s="2">
        <v>12</v>
      </c>
      <c r="G3" s="2">
        <v>10.199999999999999</v>
      </c>
      <c r="H3" s="2">
        <v>4.3</v>
      </c>
      <c r="I3" s="2">
        <v>103.5</v>
      </c>
      <c r="J3" s="2">
        <v>181</v>
      </c>
      <c r="K3" s="2">
        <v>-0.5</v>
      </c>
      <c r="L3" s="2">
        <v>105</v>
      </c>
      <c r="M3" s="14">
        <f t="shared" si="0"/>
        <v>5.049019607843138</v>
      </c>
      <c r="N3" s="13"/>
    </row>
    <row r="4" spans="1:14" ht="14.4" x14ac:dyDescent="0.3">
      <c r="A4" s="13" t="s">
        <v>40</v>
      </c>
      <c r="B4" s="13" t="s">
        <v>29</v>
      </c>
      <c r="C4" s="15">
        <v>45330</v>
      </c>
      <c r="D4" s="2">
        <v>23.2</v>
      </c>
      <c r="E4" s="2">
        <v>69.5</v>
      </c>
      <c r="F4" s="2">
        <v>14.3</v>
      </c>
      <c r="G4" s="2">
        <v>11.7</v>
      </c>
      <c r="H4" s="2">
        <v>4.8</v>
      </c>
      <c r="I4" s="2">
        <v>123.5</v>
      </c>
      <c r="J4" s="2">
        <v>193</v>
      </c>
      <c r="K4" s="2">
        <v>-1.43</v>
      </c>
      <c r="L4" s="2">
        <v>75.5</v>
      </c>
      <c r="M4" s="14">
        <f t="shared" si="0"/>
        <v>5.9401709401709404</v>
      </c>
      <c r="N4" s="13"/>
    </row>
    <row r="5" spans="1:14" ht="14.4" x14ac:dyDescent="0.3">
      <c r="A5" s="13" t="s">
        <v>24</v>
      </c>
      <c r="B5" s="13" t="s">
        <v>22</v>
      </c>
      <c r="C5" s="15">
        <v>45337</v>
      </c>
      <c r="D5" s="2">
        <v>25.6</v>
      </c>
      <c r="E5" s="2">
        <v>66.3</v>
      </c>
      <c r="F5" s="2">
        <v>16.8</v>
      </c>
      <c r="G5" s="2">
        <v>12.7</v>
      </c>
      <c r="H5" s="2">
        <v>4.7</v>
      </c>
      <c r="I5" s="2">
        <v>126.4</v>
      </c>
      <c r="J5" s="2">
        <v>180.2</v>
      </c>
      <c r="K5" s="2">
        <v>-0.44</v>
      </c>
      <c r="L5" s="2">
        <v>107</v>
      </c>
      <c r="M5" s="14">
        <f t="shared" si="0"/>
        <v>5.2204724409448824</v>
      </c>
      <c r="N5" s="13"/>
    </row>
    <row r="6" spans="1:14" ht="14.4" x14ac:dyDescent="0.3">
      <c r="A6" s="13" t="s">
        <v>33</v>
      </c>
      <c r="B6" s="13" t="s">
        <v>34</v>
      </c>
      <c r="C6" s="15">
        <v>45337</v>
      </c>
      <c r="D6" s="2">
        <v>14.3</v>
      </c>
      <c r="E6" s="2">
        <v>37.4</v>
      </c>
      <c r="F6" s="2">
        <v>7.4</v>
      </c>
      <c r="G6" s="2">
        <v>8.4</v>
      </c>
      <c r="H6" s="2">
        <v>3.8</v>
      </c>
      <c r="I6" s="2">
        <v>71.400000000000006</v>
      </c>
      <c r="J6" s="2">
        <v>182.6</v>
      </c>
      <c r="K6" s="2">
        <v>-2.2999999999999998</v>
      </c>
      <c r="L6" s="2">
        <v>38.5</v>
      </c>
      <c r="M6" s="14">
        <f t="shared" si="0"/>
        <v>4.4523809523809517</v>
      </c>
      <c r="N6" s="13"/>
    </row>
    <row r="7" spans="1:14" ht="14.4" x14ac:dyDescent="0.3">
      <c r="A7" s="13" t="s">
        <v>60</v>
      </c>
      <c r="B7" s="13" t="s">
        <v>29</v>
      </c>
      <c r="C7" s="15">
        <v>45337</v>
      </c>
      <c r="D7" s="2">
        <v>16.8</v>
      </c>
      <c r="E7" s="2">
        <v>57.7</v>
      </c>
      <c r="F7" s="2">
        <v>11.9</v>
      </c>
      <c r="G7" s="2">
        <v>10</v>
      </c>
      <c r="H7" s="2">
        <v>4.3</v>
      </c>
      <c r="I7" s="2">
        <v>100.7</v>
      </c>
      <c r="J7" s="2">
        <v>185</v>
      </c>
      <c r="K7" s="2">
        <v>-1.98</v>
      </c>
      <c r="L7" s="2">
        <v>51.5</v>
      </c>
      <c r="M7" s="14">
        <f t="shared" si="0"/>
        <v>5.7700000000000005</v>
      </c>
      <c r="N7" s="13"/>
    </row>
    <row r="8" spans="1:14" ht="14.4" x14ac:dyDescent="0.3">
      <c r="A8" s="13" t="s">
        <v>43</v>
      </c>
      <c r="B8" s="13" t="s">
        <v>29</v>
      </c>
      <c r="C8" s="15">
        <v>45337</v>
      </c>
      <c r="D8" s="2">
        <v>19.5</v>
      </c>
      <c r="E8" s="2">
        <v>50.5</v>
      </c>
      <c r="F8" s="2">
        <v>11.5</v>
      </c>
      <c r="G8" s="2">
        <v>12.2</v>
      </c>
      <c r="H8" s="2">
        <v>4.5</v>
      </c>
      <c r="I8" s="2">
        <v>98.2</v>
      </c>
      <c r="J8" s="2">
        <v>193.8</v>
      </c>
      <c r="K8" s="2">
        <v>-1.98</v>
      </c>
      <c r="L8" s="2">
        <v>54</v>
      </c>
      <c r="M8" s="14">
        <f t="shared" si="0"/>
        <v>4.139344262295082</v>
      </c>
      <c r="N8" s="13"/>
    </row>
    <row r="9" spans="1:14" ht="14.4" x14ac:dyDescent="0.3">
      <c r="A9" s="13" t="s">
        <v>94</v>
      </c>
      <c r="B9" s="1" t="s">
        <v>16</v>
      </c>
      <c r="C9" s="16">
        <v>45337</v>
      </c>
      <c r="D9" s="1">
        <v>16.3</v>
      </c>
      <c r="E9" s="1">
        <v>54.5</v>
      </c>
      <c r="F9" s="1">
        <v>11</v>
      </c>
      <c r="G9" s="1">
        <v>11.2</v>
      </c>
      <c r="H9" s="1">
        <v>4.4000000000000004</v>
      </c>
      <c r="I9" s="1">
        <v>97.4</v>
      </c>
      <c r="J9" s="1">
        <v>194.5</v>
      </c>
      <c r="K9" s="1">
        <v>-2.37</v>
      </c>
      <c r="L9" s="1">
        <v>39</v>
      </c>
      <c r="M9" s="17">
        <f t="shared" si="0"/>
        <v>4.8660714285714288</v>
      </c>
    </row>
    <row r="10" spans="1:14" ht="14.4" x14ac:dyDescent="0.3">
      <c r="A10" s="13" t="s">
        <v>75</v>
      </c>
      <c r="B10" s="1" t="s">
        <v>15</v>
      </c>
      <c r="C10" s="16">
        <v>45337</v>
      </c>
      <c r="D10" s="1">
        <v>11.35</v>
      </c>
      <c r="E10" s="1">
        <v>36.799999999999997</v>
      </c>
      <c r="F10" s="1">
        <v>7.78</v>
      </c>
      <c r="G10" s="1">
        <v>7.78</v>
      </c>
      <c r="H10" s="1">
        <v>3.59</v>
      </c>
      <c r="I10" s="1">
        <v>67.3</v>
      </c>
      <c r="J10" s="1">
        <v>172.8</v>
      </c>
      <c r="K10" s="1">
        <v>-2.4500000000000002</v>
      </c>
      <c r="L10" s="1">
        <v>31.5</v>
      </c>
      <c r="M10" s="17">
        <f t="shared" si="0"/>
        <v>4.7300771208226218</v>
      </c>
    </row>
    <row r="11" spans="1:14" ht="14.4" x14ac:dyDescent="0.3">
      <c r="A11" s="13" t="s">
        <v>27</v>
      </c>
      <c r="B11" s="13" t="s">
        <v>26</v>
      </c>
      <c r="C11" s="15">
        <v>45344</v>
      </c>
      <c r="D11" s="2">
        <v>18.7</v>
      </c>
      <c r="E11" s="2">
        <v>48.5</v>
      </c>
      <c r="F11" s="2">
        <v>10.199999999999999</v>
      </c>
      <c r="G11" s="2">
        <v>9.6</v>
      </c>
      <c r="H11" s="2">
        <v>4.2</v>
      </c>
      <c r="I11" s="2">
        <v>91.3</v>
      </c>
      <c r="J11" s="2">
        <v>185</v>
      </c>
      <c r="K11" s="2">
        <v>-1.76</v>
      </c>
      <c r="L11" s="2">
        <v>60</v>
      </c>
      <c r="M11" s="14">
        <f t="shared" si="0"/>
        <v>5.0520833333333339</v>
      </c>
      <c r="N11" s="13"/>
    </row>
    <row r="12" spans="1:14" ht="14.4" x14ac:dyDescent="0.3">
      <c r="A12" s="13" t="s">
        <v>25</v>
      </c>
      <c r="B12" s="13" t="s">
        <v>26</v>
      </c>
      <c r="C12" s="15">
        <v>45344</v>
      </c>
      <c r="D12" s="2">
        <v>21.9</v>
      </c>
      <c r="E12" s="2">
        <v>47.9</v>
      </c>
      <c r="F12" s="2">
        <v>10.199999999999999</v>
      </c>
      <c r="G12" s="2">
        <v>8.8000000000000007</v>
      </c>
      <c r="H12" s="2">
        <v>4.0999999999999996</v>
      </c>
      <c r="I12" s="2">
        <v>92.9</v>
      </c>
      <c r="J12" s="2">
        <v>191.8</v>
      </c>
      <c r="K12" s="2">
        <v>-1.42</v>
      </c>
      <c r="L12" s="2">
        <v>75.5</v>
      </c>
      <c r="M12" s="14">
        <f t="shared" si="0"/>
        <v>5.4431818181818175</v>
      </c>
      <c r="N12" s="13"/>
    </row>
    <row r="13" spans="1:14" ht="14.4" x14ac:dyDescent="0.3">
      <c r="A13" s="13" t="s">
        <v>37</v>
      </c>
      <c r="B13" s="13" t="s">
        <v>34</v>
      </c>
      <c r="C13" s="15">
        <v>45344</v>
      </c>
      <c r="D13" s="2">
        <v>13</v>
      </c>
      <c r="E13" s="2">
        <v>41</v>
      </c>
      <c r="F13" s="2">
        <v>8.9</v>
      </c>
      <c r="G13" s="2">
        <v>8.3000000000000007</v>
      </c>
      <c r="H13" s="2">
        <v>3.7</v>
      </c>
      <c r="I13" s="2">
        <v>74.900000000000006</v>
      </c>
      <c r="J13" s="2">
        <v>173.7</v>
      </c>
      <c r="K13" s="2">
        <v>-2.1800000000000002</v>
      </c>
      <c r="L13" s="2">
        <v>41.5</v>
      </c>
      <c r="M13" s="14">
        <f t="shared" si="0"/>
        <v>4.9397590361445776</v>
      </c>
      <c r="N13" s="13"/>
    </row>
    <row r="14" spans="1:14" ht="14.4" x14ac:dyDescent="0.3">
      <c r="A14" s="13" t="s">
        <v>95</v>
      </c>
      <c r="B14" s="1" t="s">
        <v>34</v>
      </c>
      <c r="C14" s="16">
        <v>45344</v>
      </c>
      <c r="D14" s="1">
        <v>14.68</v>
      </c>
      <c r="E14" s="1">
        <v>41.59</v>
      </c>
      <c r="F14" s="1">
        <v>9.36</v>
      </c>
      <c r="G14" s="1">
        <v>7.79</v>
      </c>
      <c r="H14" s="1">
        <v>3.78</v>
      </c>
      <c r="I14" s="1">
        <v>77.2</v>
      </c>
      <c r="J14" s="1">
        <v>172.3</v>
      </c>
      <c r="K14" s="1">
        <v>-1.74</v>
      </c>
      <c r="L14" s="1">
        <v>51.5</v>
      </c>
      <c r="M14" s="17">
        <f t="shared" si="0"/>
        <v>5.3388960205391536</v>
      </c>
    </row>
    <row r="15" spans="1:14" ht="14.4" x14ac:dyDescent="0.3">
      <c r="A15" s="13" t="s">
        <v>23</v>
      </c>
      <c r="B15" s="13" t="s">
        <v>15</v>
      </c>
      <c r="C15" s="15">
        <v>45351</v>
      </c>
      <c r="D15" s="2">
        <v>12.1</v>
      </c>
      <c r="E15" s="2">
        <v>41.9</v>
      </c>
      <c r="F15" s="2">
        <v>9.1999999999999993</v>
      </c>
      <c r="G15" s="2">
        <v>7.9</v>
      </c>
      <c r="H15" s="2">
        <v>3.8</v>
      </c>
      <c r="I15" s="2">
        <v>74.900000000000006</v>
      </c>
      <c r="J15" s="2">
        <v>182.2</v>
      </c>
      <c r="K15" s="2">
        <v>-2.59</v>
      </c>
      <c r="L15" s="2">
        <v>28</v>
      </c>
      <c r="M15" s="14">
        <f t="shared" si="0"/>
        <v>5.3037974683544302</v>
      </c>
      <c r="N15" s="13"/>
    </row>
    <row r="16" spans="1:14" ht="14.4" x14ac:dyDescent="0.3">
      <c r="A16" s="13" t="s">
        <v>31</v>
      </c>
      <c r="B16" s="13" t="s">
        <v>26</v>
      </c>
      <c r="C16" s="15">
        <v>45351</v>
      </c>
      <c r="D16" s="2">
        <v>19.7</v>
      </c>
      <c r="E16" s="2">
        <v>49.2</v>
      </c>
      <c r="F16" s="2">
        <v>9.8000000000000007</v>
      </c>
      <c r="G16" s="2">
        <v>10.6</v>
      </c>
      <c r="H16" s="2">
        <v>4.2</v>
      </c>
      <c r="I16" s="2">
        <v>65.5</v>
      </c>
      <c r="J16" s="2">
        <v>186</v>
      </c>
      <c r="K16" s="2">
        <v>-1.62</v>
      </c>
      <c r="L16" s="2">
        <v>65.5</v>
      </c>
      <c r="M16" s="14">
        <f t="shared" si="0"/>
        <v>4.6415094339622645</v>
      </c>
      <c r="N16" s="13"/>
    </row>
    <row r="17" spans="1:14" ht="14.4" x14ac:dyDescent="0.3">
      <c r="A17" s="13" t="s">
        <v>74</v>
      </c>
      <c r="B17" s="13" t="s">
        <v>22</v>
      </c>
      <c r="C17" s="15">
        <v>45351</v>
      </c>
      <c r="D17" s="2">
        <v>23.1</v>
      </c>
      <c r="E17" s="2">
        <v>54.9</v>
      </c>
      <c r="F17" s="2">
        <v>11.9</v>
      </c>
      <c r="G17" s="2">
        <v>11.4</v>
      </c>
      <c r="H17" s="2">
        <v>4.3</v>
      </c>
      <c r="I17" s="2">
        <v>105.7</v>
      </c>
      <c r="J17" s="2">
        <v>183.8</v>
      </c>
      <c r="K17" s="2">
        <v>-0.94</v>
      </c>
      <c r="L17" s="2">
        <v>90.5</v>
      </c>
      <c r="M17" s="14">
        <f t="shared" si="0"/>
        <v>4.8157894736842106</v>
      </c>
      <c r="N17" s="13"/>
    </row>
    <row r="18" spans="1:14" ht="14.4" x14ac:dyDescent="0.3">
      <c r="A18" s="13" t="s">
        <v>42</v>
      </c>
      <c r="B18" s="13" t="s">
        <v>15</v>
      </c>
      <c r="C18" s="15">
        <v>45351</v>
      </c>
      <c r="D18" s="2">
        <v>14</v>
      </c>
      <c r="E18" s="2">
        <v>41.8</v>
      </c>
      <c r="F18" s="2">
        <v>9.5</v>
      </c>
      <c r="G18" s="2">
        <v>9</v>
      </c>
      <c r="H18" s="2">
        <v>3.7</v>
      </c>
      <c r="I18" s="2">
        <v>78</v>
      </c>
      <c r="J18" s="2">
        <v>176.8</v>
      </c>
      <c r="K18" s="2">
        <v>-1.8</v>
      </c>
      <c r="L18" s="2">
        <v>48</v>
      </c>
      <c r="M18" s="14">
        <f t="shared" si="0"/>
        <v>4.6444444444444439</v>
      </c>
      <c r="N18" s="13"/>
    </row>
    <row r="19" spans="1:14" ht="14.4" x14ac:dyDescent="0.3">
      <c r="A19" s="13" t="s">
        <v>21</v>
      </c>
      <c r="B19" s="13" t="s">
        <v>22</v>
      </c>
      <c r="C19" s="15">
        <v>45358</v>
      </c>
      <c r="D19" s="2">
        <v>24.5</v>
      </c>
      <c r="E19" s="2">
        <v>62.9</v>
      </c>
      <c r="F19" s="2">
        <v>15.4</v>
      </c>
      <c r="G19" s="2">
        <v>12.5</v>
      </c>
      <c r="H19" s="2">
        <v>4.5999999999999996</v>
      </c>
      <c r="I19" s="2">
        <v>119.9</v>
      </c>
      <c r="J19" s="2">
        <v>180</v>
      </c>
      <c r="K19" s="2">
        <v>-0.61</v>
      </c>
      <c r="L19" s="2">
        <v>100.5</v>
      </c>
      <c r="M19" s="14">
        <f t="shared" si="0"/>
        <v>5.032</v>
      </c>
      <c r="N19" s="13"/>
    </row>
    <row r="20" spans="1:14" ht="14.4" x14ac:dyDescent="0.3">
      <c r="A20" s="13" t="s">
        <v>32</v>
      </c>
      <c r="B20" s="13" t="s">
        <v>26</v>
      </c>
      <c r="C20" s="15">
        <v>45358</v>
      </c>
      <c r="D20" s="2">
        <v>25.1</v>
      </c>
      <c r="E20" s="2">
        <v>52</v>
      </c>
      <c r="F20" s="2">
        <v>11.7</v>
      </c>
      <c r="G20" s="2">
        <v>10.199999999999999</v>
      </c>
      <c r="H20" s="13">
        <v>4.3</v>
      </c>
      <c r="I20" s="2">
        <v>103.3</v>
      </c>
      <c r="J20" s="2">
        <v>181</v>
      </c>
      <c r="K20" s="2">
        <v>-0.52</v>
      </c>
      <c r="L20" s="2">
        <v>105.5</v>
      </c>
      <c r="M20" s="14">
        <f t="shared" si="0"/>
        <v>5.098039215686275</v>
      </c>
      <c r="N20" s="13"/>
    </row>
    <row r="21" spans="1:14" ht="14.4" x14ac:dyDescent="0.3">
      <c r="A21" s="13" t="s">
        <v>36</v>
      </c>
      <c r="B21" s="13" t="s">
        <v>26</v>
      </c>
      <c r="C21" s="15">
        <v>45358</v>
      </c>
      <c r="D21" s="2">
        <v>18.899999999999999</v>
      </c>
      <c r="E21" s="2">
        <v>54.5</v>
      </c>
      <c r="F21" s="2">
        <v>11.5</v>
      </c>
      <c r="G21" s="2">
        <v>10.9</v>
      </c>
      <c r="H21" s="2">
        <v>4.5</v>
      </c>
      <c r="I21" s="2">
        <v>100.3</v>
      </c>
      <c r="J21" s="2">
        <v>191</v>
      </c>
      <c r="K21" s="2">
        <v>-1.96</v>
      </c>
      <c r="L21" s="2">
        <v>54</v>
      </c>
      <c r="M21" s="14">
        <f t="shared" si="0"/>
        <v>5</v>
      </c>
      <c r="N21" s="13"/>
    </row>
    <row r="22" spans="1:14" ht="14.4" x14ac:dyDescent="0.3">
      <c r="A22" s="13" t="s">
        <v>41</v>
      </c>
      <c r="B22" s="13" t="s">
        <v>22</v>
      </c>
      <c r="C22" s="15">
        <v>45358</v>
      </c>
      <c r="D22" s="2">
        <v>31.3</v>
      </c>
      <c r="E22" s="2">
        <v>55.2</v>
      </c>
      <c r="F22" s="2">
        <v>16</v>
      </c>
      <c r="G22" s="2">
        <v>13.4</v>
      </c>
      <c r="H22" s="2">
        <v>4</v>
      </c>
      <c r="I22" s="2">
        <v>120</v>
      </c>
      <c r="J22" s="2">
        <v>179.1</v>
      </c>
      <c r="K22" s="2">
        <v>1.22</v>
      </c>
      <c r="L22" s="2">
        <v>167</v>
      </c>
      <c r="M22" s="14">
        <f t="shared" si="0"/>
        <v>4.1194029850746272</v>
      </c>
      <c r="N22" s="13"/>
    </row>
    <row r="23" spans="1:14" ht="14.4" x14ac:dyDescent="0.3">
      <c r="A23" s="13" t="s">
        <v>14</v>
      </c>
      <c r="B23" s="13" t="s">
        <v>15</v>
      </c>
      <c r="C23" s="15">
        <v>45386</v>
      </c>
      <c r="D23" s="2">
        <v>13.5</v>
      </c>
      <c r="E23" s="2">
        <v>45.4</v>
      </c>
      <c r="F23" s="2">
        <v>10.1</v>
      </c>
      <c r="G23" s="13">
        <v>8.8000000000000007</v>
      </c>
      <c r="H23" s="2">
        <v>4.0999999999999996</v>
      </c>
      <c r="I23" s="2">
        <v>81.8</v>
      </c>
      <c r="J23" s="13">
        <v>182</v>
      </c>
      <c r="K23" s="13">
        <v>-2.4300000000000002</v>
      </c>
      <c r="L23" s="2">
        <v>34</v>
      </c>
      <c r="M23" s="14">
        <f t="shared" si="0"/>
        <v>5.1590909090909083</v>
      </c>
      <c r="N23" s="13"/>
    </row>
    <row r="24" spans="1:14" ht="14.4" x14ac:dyDescent="0.3">
      <c r="A24" s="13" t="s">
        <v>24</v>
      </c>
      <c r="B24" s="13" t="s">
        <v>22</v>
      </c>
      <c r="C24" s="15">
        <v>45386</v>
      </c>
      <c r="D24" s="2">
        <v>25.2</v>
      </c>
      <c r="E24" s="2">
        <v>69</v>
      </c>
      <c r="F24" s="2">
        <v>17.2</v>
      </c>
      <c r="G24" s="2">
        <v>12.7</v>
      </c>
      <c r="H24" s="2">
        <v>4.9000000000000004</v>
      </c>
      <c r="I24" s="2">
        <v>128.9</v>
      </c>
      <c r="J24" s="2">
        <v>180.2</v>
      </c>
      <c r="K24" s="2">
        <v>-0.6</v>
      </c>
      <c r="L24" s="2">
        <v>101</v>
      </c>
      <c r="M24" s="14">
        <f t="shared" si="0"/>
        <v>5.4330708661417324</v>
      </c>
      <c r="N24" s="13"/>
    </row>
    <row r="25" spans="1:14" ht="14.4" x14ac:dyDescent="0.3">
      <c r="A25" s="13" t="s">
        <v>49</v>
      </c>
      <c r="B25" s="1" t="s">
        <v>26</v>
      </c>
      <c r="C25" s="16">
        <v>45386</v>
      </c>
      <c r="D25" s="1">
        <v>20.21</v>
      </c>
      <c r="E25" s="1">
        <v>52.78</v>
      </c>
      <c r="F25" s="1">
        <v>14.27</v>
      </c>
      <c r="G25" s="1">
        <v>10.62</v>
      </c>
      <c r="H25" s="1">
        <v>4.33</v>
      </c>
      <c r="I25" s="1">
        <v>102.2</v>
      </c>
      <c r="J25" s="1">
        <v>188</v>
      </c>
      <c r="K25" s="1">
        <v>-1.58</v>
      </c>
      <c r="L25" s="1">
        <v>68</v>
      </c>
      <c r="M25" s="17">
        <f t="shared" si="0"/>
        <v>4.9698681732580043</v>
      </c>
    </row>
    <row r="26" spans="1:14" ht="14.4" x14ac:dyDescent="0.3">
      <c r="A26" s="13" t="s">
        <v>33</v>
      </c>
      <c r="B26" s="13" t="s">
        <v>34</v>
      </c>
      <c r="C26" s="15">
        <v>45393</v>
      </c>
      <c r="D26" s="2">
        <v>14</v>
      </c>
      <c r="E26" s="2">
        <v>38.9</v>
      </c>
      <c r="F26" s="2">
        <v>7.9</v>
      </c>
      <c r="G26" s="2">
        <v>8.4</v>
      </c>
      <c r="H26" s="2">
        <v>3.9</v>
      </c>
      <c r="I26" s="2">
        <v>73.3</v>
      </c>
      <c r="J26" s="13">
        <v>182.6</v>
      </c>
      <c r="K26" s="2">
        <v>-2.4</v>
      </c>
      <c r="L26" s="2">
        <v>36</v>
      </c>
      <c r="M26" s="14">
        <f t="shared" si="0"/>
        <v>4.6309523809523805</v>
      </c>
      <c r="N26" s="13"/>
    </row>
    <row r="27" spans="1:14" ht="14.4" x14ac:dyDescent="0.3">
      <c r="A27" s="13" t="s">
        <v>43</v>
      </c>
      <c r="B27" s="13" t="s">
        <v>29</v>
      </c>
      <c r="C27" s="15">
        <v>45393</v>
      </c>
      <c r="D27" s="2">
        <v>19.2</v>
      </c>
      <c r="E27" s="2">
        <v>52.4</v>
      </c>
      <c r="F27" s="2">
        <v>11.6</v>
      </c>
      <c r="G27" s="2">
        <v>12.2</v>
      </c>
      <c r="H27" s="2">
        <v>4.4000000000000004</v>
      </c>
      <c r="I27" s="2">
        <v>99.9</v>
      </c>
      <c r="J27" s="2">
        <v>193.8</v>
      </c>
      <c r="K27" s="2">
        <v>-1.97</v>
      </c>
      <c r="L27" s="2">
        <v>54.5</v>
      </c>
      <c r="M27" s="14">
        <f t="shared" si="0"/>
        <v>4.2950819672131146</v>
      </c>
      <c r="N27" s="13"/>
    </row>
    <row r="28" spans="1:14" ht="14.4" x14ac:dyDescent="0.3">
      <c r="A28" s="13" t="s">
        <v>27</v>
      </c>
      <c r="B28" s="13" t="s">
        <v>26</v>
      </c>
      <c r="C28" s="15">
        <v>45400</v>
      </c>
      <c r="D28" s="2">
        <v>18.399999999999999</v>
      </c>
      <c r="E28" s="2">
        <v>48.5</v>
      </c>
      <c r="F28" s="2">
        <v>10</v>
      </c>
      <c r="G28" s="2">
        <v>9.6</v>
      </c>
      <c r="H28" s="2">
        <v>4.2</v>
      </c>
      <c r="I28" s="2">
        <v>90.7</v>
      </c>
      <c r="J28" s="2">
        <v>185</v>
      </c>
      <c r="K28" s="2">
        <v>-1.79</v>
      </c>
      <c r="L28" s="2">
        <v>59</v>
      </c>
      <c r="M28" s="14">
        <f t="shared" si="0"/>
        <v>5.0520833333333339</v>
      </c>
      <c r="N28" s="13"/>
    </row>
    <row r="29" spans="1:14" ht="14.4" x14ac:dyDescent="0.3">
      <c r="A29" s="13" t="s">
        <v>25</v>
      </c>
      <c r="B29" s="13" t="s">
        <v>26</v>
      </c>
      <c r="C29" s="15">
        <v>45400</v>
      </c>
      <c r="D29" s="2">
        <v>20.9</v>
      </c>
      <c r="E29" s="2">
        <v>49.3</v>
      </c>
      <c r="F29" s="2">
        <v>11</v>
      </c>
      <c r="G29" s="2">
        <v>8.8000000000000007</v>
      </c>
      <c r="H29" s="2">
        <v>4.0999999999999996</v>
      </c>
      <c r="I29" s="2">
        <v>94.1</v>
      </c>
      <c r="J29" s="2">
        <v>191.8</v>
      </c>
      <c r="K29" s="2">
        <v>-1.57</v>
      </c>
      <c r="L29" s="2">
        <v>69.5</v>
      </c>
      <c r="M29" s="14">
        <f t="shared" si="0"/>
        <v>5.6022727272727266</v>
      </c>
      <c r="N29" s="13"/>
    </row>
    <row r="30" spans="1:14" ht="14.4" x14ac:dyDescent="0.3">
      <c r="A30" s="13" t="s">
        <v>32</v>
      </c>
      <c r="B30" s="13" t="s">
        <v>26</v>
      </c>
      <c r="C30" s="15">
        <v>45400</v>
      </c>
      <c r="D30" s="2">
        <v>23.6</v>
      </c>
      <c r="E30" s="2">
        <v>51.1</v>
      </c>
      <c r="F30" s="2">
        <v>11.5</v>
      </c>
      <c r="G30" s="2">
        <v>10.199999999999999</v>
      </c>
      <c r="H30" s="2">
        <v>4.2</v>
      </c>
      <c r="I30" s="2">
        <v>100.7</v>
      </c>
      <c r="J30" s="13">
        <v>181</v>
      </c>
      <c r="K30" s="2">
        <v>-0.75</v>
      </c>
      <c r="L30" s="2">
        <v>96</v>
      </c>
      <c r="M30" s="14">
        <f t="shared" si="0"/>
        <v>5.0098039215686283</v>
      </c>
      <c r="N30" s="13"/>
    </row>
    <row r="31" spans="1:14" ht="14.4" x14ac:dyDescent="0.3">
      <c r="A31" s="13" t="s">
        <v>50</v>
      </c>
      <c r="B31" s="1" t="s">
        <v>16</v>
      </c>
      <c r="C31" s="16">
        <v>45400</v>
      </c>
      <c r="D31" s="1">
        <v>19.55</v>
      </c>
      <c r="E31" s="1">
        <v>51.8</v>
      </c>
      <c r="F31" s="1">
        <v>10.15</v>
      </c>
      <c r="G31" s="1">
        <v>9.5399999999999991</v>
      </c>
      <c r="H31" s="1">
        <v>4.2699999999999996</v>
      </c>
      <c r="I31" s="1">
        <v>95.3</v>
      </c>
      <c r="J31" s="1">
        <v>183</v>
      </c>
      <c r="K31" s="1">
        <v>-1.54</v>
      </c>
      <c r="L31" s="1">
        <v>67.5</v>
      </c>
      <c r="M31" s="17">
        <f t="shared" si="0"/>
        <v>5.4297693920335428</v>
      </c>
    </row>
    <row r="32" spans="1:14" ht="14.4" x14ac:dyDescent="0.3">
      <c r="A32" s="13" t="s">
        <v>23</v>
      </c>
      <c r="B32" s="13" t="s">
        <v>15</v>
      </c>
      <c r="C32" s="15">
        <v>45414</v>
      </c>
      <c r="D32" s="2">
        <v>11.8</v>
      </c>
      <c r="E32" s="2">
        <v>42.2</v>
      </c>
      <c r="F32" s="2">
        <v>9.3000000000000007</v>
      </c>
      <c r="G32" s="2">
        <v>7.9</v>
      </c>
      <c r="H32" s="2">
        <v>3.8</v>
      </c>
      <c r="I32" s="2">
        <v>75</v>
      </c>
      <c r="J32" s="2">
        <v>182.2</v>
      </c>
      <c r="K32" s="2">
        <v>-2.61</v>
      </c>
      <c r="L32" s="2">
        <v>27.5</v>
      </c>
      <c r="M32" s="14">
        <f t="shared" si="0"/>
        <v>5.3417721518987342</v>
      </c>
      <c r="N32" s="13"/>
    </row>
    <row r="33" spans="1:14" ht="14.4" x14ac:dyDescent="0.3">
      <c r="A33" s="13" t="s">
        <v>74</v>
      </c>
      <c r="B33" s="13" t="s">
        <v>22</v>
      </c>
      <c r="C33" s="15">
        <v>45414</v>
      </c>
      <c r="D33" s="2">
        <v>21.7</v>
      </c>
      <c r="E33" s="2">
        <v>54.6</v>
      </c>
      <c r="F33" s="2">
        <v>11.6</v>
      </c>
      <c r="G33" s="2">
        <v>11.4</v>
      </c>
      <c r="H33" s="2">
        <v>4.3</v>
      </c>
      <c r="I33" s="2">
        <v>103.6</v>
      </c>
      <c r="J33" s="2">
        <v>183.8</v>
      </c>
      <c r="K33" s="2">
        <v>-1.1200000000000001</v>
      </c>
      <c r="L33" s="2">
        <v>83.5</v>
      </c>
      <c r="M33" s="14">
        <f t="shared" si="0"/>
        <v>4.7894736842105265</v>
      </c>
      <c r="N33" s="13"/>
    </row>
    <row r="34" spans="1:14" ht="14.4" x14ac:dyDescent="0.3">
      <c r="A34" s="13" t="s">
        <v>47</v>
      </c>
      <c r="B34" s="13" t="s">
        <v>26</v>
      </c>
      <c r="C34" s="15">
        <v>45417</v>
      </c>
      <c r="D34" s="2">
        <v>17.850000000000001</v>
      </c>
      <c r="E34" s="2">
        <v>48.22</v>
      </c>
      <c r="F34" s="2">
        <v>10.76</v>
      </c>
      <c r="G34" s="2">
        <v>9.23</v>
      </c>
      <c r="H34" s="2">
        <v>4.05</v>
      </c>
      <c r="I34" s="2">
        <v>90.1</v>
      </c>
      <c r="J34" s="2">
        <v>177.2</v>
      </c>
      <c r="K34" s="2"/>
      <c r="L34" s="2">
        <v>66.5</v>
      </c>
      <c r="M34" s="14">
        <f t="shared" si="0"/>
        <v>5.2242686890574213</v>
      </c>
      <c r="N34" s="13"/>
    </row>
    <row r="35" spans="1:14" ht="14.4" x14ac:dyDescent="0.3">
      <c r="A35" s="13" t="s">
        <v>60</v>
      </c>
      <c r="B35" s="13" t="s">
        <v>29</v>
      </c>
      <c r="C35" s="15">
        <v>45426</v>
      </c>
      <c r="D35" s="2">
        <v>13.9</v>
      </c>
      <c r="E35" s="2">
        <v>56.6</v>
      </c>
      <c r="F35" s="2">
        <v>12</v>
      </c>
      <c r="G35" s="2">
        <v>10</v>
      </c>
      <c r="H35" s="2">
        <v>4.4000000000000004</v>
      </c>
      <c r="I35" s="2">
        <v>96.9</v>
      </c>
      <c r="J35" s="2">
        <v>185</v>
      </c>
      <c r="K35" s="2">
        <v>-2.4300000000000002</v>
      </c>
      <c r="L35" s="2">
        <v>34.5</v>
      </c>
      <c r="M35" s="14">
        <f t="shared" si="0"/>
        <v>5.66</v>
      </c>
      <c r="N35" s="13"/>
    </row>
    <row r="36" spans="1:14" ht="14.4" x14ac:dyDescent="0.3">
      <c r="A36" s="13" t="s">
        <v>31</v>
      </c>
      <c r="B36" s="13" t="s">
        <v>26</v>
      </c>
      <c r="C36" s="15">
        <v>45435</v>
      </c>
      <c r="D36" s="2">
        <v>19.2</v>
      </c>
      <c r="E36" s="2">
        <v>51</v>
      </c>
      <c r="F36" s="2">
        <v>9.9</v>
      </c>
      <c r="G36" s="2">
        <v>10.6</v>
      </c>
      <c r="H36" s="2">
        <v>4.2</v>
      </c>
      <c r="I36" s="2">
        <v>95</v>
      </c>
      <c r="J36" s="2">
        <v>186</v>
      </c>
      <c r="K36" s="2">
        <v>-1.64</v>
      </c>
      <c r="L36" s="2">
        <v>65</v>
      </c>
      <c r="M36" s="14">
        <f t="shared" si="0"/>
        <v>4.8113207547169816</v>
      </c>
      <c r="N36" s="13"/>
    </row>
    <row r="37" spans="1:14" ht="14.4" x14ac:dyDescent="0.3">
      <c r="A37" s="13" t="s">
        <v>36</v>
      </c>
      <c r="B37" s="13" t="s">
        <v>26</v>
      </c>
      <c r="C37" s="15">
        <v>45442</v>
      </c>
      <c r="D37" s="2">
        <v>17.100000000000001</v>
      </c>
      <c r="E37" s="2">
        <v>58.9</v>
      </c>
      <c r="F37" s="2">
        <v>11.7</v>
      </c>
      <c r="G37" s="2">
        <v>10.9</v>
      </c>
      <c r="H37" s="2">
        <v>4.5</v>
      </c>
      <c r="I37" s="2">
        <v>98.1</v>
      </c>
      <c r="J37" s="2">
        <v>191</v>
      </c>
      <c r="K37" s="2">
        <v>-2.23</v>
      </c>
      <c r="L37" s="2">
        <v>43.5</v>
      </c>
      <c r="M37" s="14">
        <f t="shared" si="0"/>
        <v>5.4036697247706416</v>
      </c>
      <c r="N37" s="13"/>
    </row>
    <row r="38" spans="1:14" ht="14.4" x14ac:dyDescent="0.3">
      <c r="A38" s="13" t="s">
        <v>40</v>
      </c>
      <c r="B38" s="13" t="s">
        <v>29</v>
      </c>
      <c r="C38" s="15">
        <v>45442</v>
      </c>
      <c r="D38" s="2">
        <v>23.7</v>
      </c>
      <c r="E38" s="2">
        <v>70.7</v>
      </c>
      <c r="F38" s="2">
        <v>14.9</v>
      </c>
      <c r="G38" s="13">
        <v>11.7</v>
      </c>
      <c r="H38" s="13">
        <v>4.8</v>
      </c>
      <c r="I38" s="2">
        <v>125.7</v>
      </c>
      <c r="J38" s="13">
        <v>193</v>
      </c>
      <c r="K38" s="2">
        <v>-1.31</v>
      </c>
      <c r="L38" s="2">
        <v>80.5</v>
      </c>
      <c r="M38" s="14">
        <f t="shared" si="0"/>
        <v>6.0427350427350435</v>
      </c>
      <c r="N38" s="13"/>
    </row>
    <row r="39" spans="1:14" ht="14.4" x14ac:dyDescent="0.3">
      <c r="A39" s="13" t="s">
        <v>43</v>
      </c>
      <c r="B39" s="13" t="s">
        <v>29</v>
      </c>
      <c r="C39" s="15">
        <v>45442</v>
      </c>
      <c r="D39" s="2">
        <v>19.2</v>
      </c>
      <c r="E39" s="2">
        <v>52.6</v>
      </c>
      <c r="F39" s="2">
        <v>11.7</v>
      </c>
      <c r="G39" s="2">
        <v>12.2</v>
      </c>
      <c r="H39" s="2">
        <v>4.5</v>
      </c>
      <c r="I39" s="2">
        <v>100.2</v>
      </c>
      <c r="J39" s="2">
        <v>193.8</v>
      </c>
      <c r="K39" s="2">
        <v>-1.98</v>
      </c>
      <c r="L39" s="2">
        <v>54.5</v>
      </c>
      <c r="M39" s="14">
        <f t="shared" si="0"/>
        <v>4.3114754098360661</v>
      </c>
      <c r="N39" s="13"/>
    </row>
    <row r="40" spans="1:14" ht="14.4" x14ac:dyDescent="0.3">
      <c r="A40" s="13" t="s">
        <v>49</v>
      </c>
      <c r="B40" s="1" t="s">
        <v>26</v>
      </c>
      <c r="C40" s="16">
        <v>45442</v>
      </c>
      <c r="D40" s="1">
        <v>19.190000000000001</v>
      </c>
      <c r="E40" s="1">
        <v>51.26</v>
      </c>
      <c r="F40" s="1">
        <v>13.81</v>
      </c>
      <c r="G40" s="1">
        <v>10.62</v>
      </c>
      <c r="H40" s="1">
        <v>4.2300000000000004</v>
      </c>
      <c r="I40" s="1">
        <v>99.1</v>
      </c>
      <c r="J40" s="1">
        <v>188</v>
      </c>
      <c r="K40" s="1">
        <v>-1.69</v>
      </c>
      <c r="L40" s="1">
        <v>63.5</v>
      </c>
      <c r="M40" s="17">
        <f t="shared" si="0"/>
        <v>4.8267419962335216</v>
      </c>
    </row>
    <row r="41" spans="1:14" ht="14.4" x14ac:dyDescent="0.3">
      <c r="A41" s="13" t="s">
        <v>27</v>
      </c>
      <c r="B41" s="13" t="s">
        <v>26</v>
      </c>
      <c r="C41" s="15">
        <v>45449</v>
      </c>
      <c r="D41" s="2">
        <v>17.600000000000001</v>
      </c>
      <c r="E41" s="2">
        <v>48.1</v>
      </c>
      <c r="F41" s="2">
        <v>10.3</v>
      </c>
      <c r="G41" s="2">
        <v>9.6</v>
      </c>
      <c r="H41" s="2">
        <v>4.2</v>
      </c>
      <c r="I41" s="2">
        <v>89.8</v>
      </c>
      <c r="J41" s="2">
        <v>185</v>
      </c>
      <c r="K41" s="2">
        <v>-1.91</v>
      </c>
      <c r="L41" s="2">
        <v>54.5</v>
      </c>
      <c r="M41" s="14">
        <f t="shared" si="0"/>
        <v>5.010416666666667</v>
      </c>
      <c r="N41" s="13"/>
    </row>
    <row r="42" spans="1:14" ht="14.4" x14ac:dyDescent="0.3">
      <c r="A42" s="13" t="s">
        <v>32</v>
      </c>
      <c r="B42" s="13" t="s">
        <v>26</v>
      </c>
      <c r="C42" s="15">
        <v>45449</v>
      </c>
      <c r="D42" s="2">
        <v>23.3</v>
      </c>
      <c r="E42" s="13">
        <v>51.5</v>
      </c>
      <c r="F42" s="2">
        <v>11.6</v>
      </c>
      <c r="G42" s="13">
        <v>10.199999999999999</v>
      </c>
      <c r="H42" s="13">
        <v>4.3</v>
      </c>
      <c r="I42" s="2">
        <v>100.9</v>
      </c>
      <c r="J42" s="13">
        <v>181</v>
      </c>
      <c r="K42" s="2">
        <v>-0.82</v>
      </c>
      <c r="L42" s="2">
        <v>93.5</v>
      </c>
      <c r="M42" s="14">
        <f t="shared" si="0"/>
        <v>5.049019607843138</v>
      </c>
      <c r="N42" s="13"/>
    </row>
    <row r="43" spans="1:14" ht="14.4" x14ac:dyDescent="0.3">
      <c r="A43" s="13" t="s">
        <v>50</v>
      </c>
      <c r="B43" s="1" t="s">
        <v>16</v>
      </c>
      <c r="C43" s="16">
        <v>45449</v>
      </c>
      <c r="D43" s="1">
        <v>19.82</v>
      </c>
      <c r="E43" s="1">
        <v>51.92</v>
      </c>
      <c r="F43" s="1">
        <v>10.06</v>
      </c>
      <c r="G43" s="1">
        <v>9.5399999999999991</v>
      </c>
      <c r="H43" s="1">
        <v>4.25</v>
      </c>
      <c r="I43" s="1">
        <v>95.6</v>
      </c>
      <c r="J43" s="1">
        <v>183</v>
      </c>
      <c r="K43" s="1">
        <v>-1.49</v>
      </c>
      <c r="L43" s="1">
        <v>69.5</v>
      </c>
      <c r="M43" s="17">
        <v>5.44</v>
      </c>
    </row>
    <row r="44" spans="1:14" ht="14.4" x14ac:dyDescent="0.3">
      <c r="A44" s="13" t="s">
        <v>25</v>
      </c>
      <c r="B44" s="13" t="s">
        <v>26</v>
      </c>
      <c r="C44" s="15">
        <v>45470</v>
      </c>
      <c r="D44" s="2">
        <v>20.399999999999999</v>
      </c>
      <c r="E44" s="2">
        <v>48.9</v>
      </c>
      <c r="F44" s="2">
        <v>10.6</v>
      </c>
      <c r="G44" s="2">
        <v>8.8000000000000007</v>
      </c>
      <c r="H44" s="2">
        <v>4.0999999999999996</v>
      </c>
      <c r="I44" s="2">
        <v>92.8</v>
      </c>
      <c r="J44" s="2">
        <v>191.8</v>
      </c>
      <c r="K44" s="2">
        <v>-1.6</v>
      </c>
      <c r="L44" s="2">
        <v>68.5</v>
      </c>
      <c r="M44" s="14">
        <f t="shared" ref="M44:M49" si="1">E44/G44</f>
        <v>5.5568181818181808</v>
      </c>
      <c r="N44" s="13"/>
    </row>
    <row r="45" spans="1:14" ht="14.4" x14ac:dyDescent="0.3">
      <c r="A45" s="13" t="s">
        <v>47</v>
      </c>
      <c r="B45" s="13" t="s">
        <v>26</v>
      </c>
      <c r="C45" s="15">
        <v>45470</v>
      </c>
      <c r="D45" s="2">
        <v>17.8</v>
      </c>
      <c r="E45" s="2">
        <v>48.1</v>
      </c>
      <c r="F45" s="2">
        <v>10.77</v>
      </c>
      <c r="G45" s="2">
        <v>9.23</v>
      </c>
      <c r="H45" s="2">
        <v>4.01</v>
      </c>
      <c r="I45" s="2">
        <v>89.9</v>
      </c>
      <c r="J45" s="2">
        <v>177.2</v>
      </c>
      <c r="K45" s="2"/>
      <c r="L45" s="2">
        <v>67</v>
      </c>
      <c r="M45" s="14">
        <f t="shared" si="1"/>
        <v>5.211267605633803</v>
      </c>
      <c r="N45" s="13"/>
    </row>
    <row r="46" spans="1:14" ht="14.4" x14ac:dyDescent="0.3">
      <c r="A46" s="13" t="s">
        <v>17</v>
      </c>
      <c r="B46" s="13" t="s">
        <v>18</v>
      </c>
      <c r="C46" s="15">
        <v>45477</v>
      </c>
      <c r="D46" s="2">
        <v>25.6</v>
      </c>
      <c r="E46" s="2">
        <v>55.2</v>
      </c>
      <c r="F46" s="2">
        <v>13</v>
      </c>
      <c r="G46" s="2">
        <v>11.6</v>
      </c>
      <c r="H46" s="2">
        <v>4.4000000000000004</v>
      </c>
      <c r="I46" s="2">
        <v>109.9</v>
      </c>
      <c r="J46" s="2">
        <v>182.3</v>
      </c>
      <c r="K46" s="2">
        <v>-0.53</v>
      </c>
      <c r="L46" s="2">
        <v>105</v>
      </c>
      <c r="M46" s="14">
        <f t="shared" si="1"/>
        <v>4.7586206896551726</v>
      </c>
      <c r="N46" s="13"/>
    </row>
    <row r="47" spans="1:14" ht="14.4" x14ac:dyDescent="0.3">
      <c r="A47" s="13" t="s">
        <v>24</v>
      </c>
      <c r="B47" s="13" t="s">
        <v>22</v>
      </c>
      <c r="C47" s="15">
        <v>45477</v>
      </c>
      <c r="D47" s="2">
        <v>24.6</v>
      </c>
      <c r="E47" s="2">
        <v>68.5</v>
      </c>
      <c r="F47" s="2">
        <v>17.2</v>
      </c>
      <c r="G47" s="2">
        <v>12.7</v>
      </c>
      <c r="H47" s="2">
        <v>4.8</v>
      </c>
      <c r="I47" s="2">
        <v>127.8</v>
      </c>
      <c r="J47" s="2">
        <v>180.2</v>
      </c>
      <c r="K47" s="2">
        <v>-0.69</v>
      </c>
      <c r="L47" s="2">
        <v>98</v>
      </c>
      <c r="M47" s="14">
        <f t="shared" si="1"/>
        <v>5.393700787401575</v>
      </c>
      <c r="N47" s="13"/>
    </row>
    <row r="48" spans="1:14" ht="14.4" x14ac:dyDescent="0.3">
      <c r="A48" s="13" t="s">
        <v>31</v>
      </c>
      <c r="B48" s="13" t="s">
        <v>26</v>
      </c>
      <c r="C48" s="15">
        <v>45477</v>
      </c>
      <c r="D48" s="2">
        <v>20</v>
      </c>
      <c r="E48" s="2">
        <v>51</v>
      </c>
      <c r="F48" s="2">
        <v>9.8000000000000007</v>
      </c>
      <c r="G48" s="2">
        <v>10.6</v>
      </c>
      <c r="H48" s="2">
        <v>4.2</v>
      </c>
      <c r="I48" s="2">
        <v>95.5</v>
      </c>
      <c r="J48" s="2">
        <v>186</v>
      </c>
      <c r="K48" s="2">
        <v>-1.52</v>
      </c>
      <c r="L48" s="2">
        <v>69.5</v>
      </c>
      <c r="M48" s="14">
        <f t="shared" si="1"/>
        <v>4.8113207547169816</v>
      </c>
      <c r="N48" s="13"/>
    </row>
    <row r="49" spans="1:14" ht="14.4" x14ac:dyDescent="0.3">
      <c r="A49" s="13" t="s">
        <v>74</v>
      </c>
      <c r="B49" s="13" t="s">
        <v>22</v>
      </c>
      <c r="C49" s="15">
        <v>45477</v>
      </c>
      <c r="D49" s="2">
        <v>22.4</v>
      </c>
      <c r="E49" s="2">
        <v>55.3</v>
      </c>
      <c r="F49" s="2">
        <v>11.9</v>
      </c>
      <c r="G49" s="2">
        <v>11.4</v>
      </c>
      <c r="H49" s="2">
        <v>4.3</v>
      </c>
      <c r="I49" s="2">
        <v>105.3</v>
      </c>
      <c r="J49" s="2">
        <v>183.8</v>
      </c>
      <c r="K49" s="2">
        <v>-1.03</v>
      </c>
      <c r="L49" s="2">
        <v>87</v>
      </c>
      <c r="M49" s="14">
        <f t="shared" si="1"/>
        <v>4.8508771929824555</v>
      </c>
      <c r="N49" s="13"/>
    </row>
    <row r="50" spans="1:14" ht="14.4" x14ac:dyDescent="0.3">
      <c r="A50" s="13" t="s">
        <v>50</v>
      </c>
      <c r="B50" s="1" t="s">
        <v>16</v>
      </c>
      <c r="C50" s="16">
        <v>45477</v>
      </c>
      <c r="D50" s="1">
        <v>18.62</v>
      </c>
      <c r="E50" s="1">
        <v>51.43</v>
      </c>
      <c r="F50" s="1">
        <v>10.42</v>
      </c>
      <c r="G50" s="1">
        <v>9.5399999999999991</v>
      </c>
      <c r="H50" s="1">
        <v>4.29</v>
      </c>
      <c r="I50" s="1">
        <v>94.3</v>
      </c>
      <c r="J50" s="1">
        <v>183</v>
      </c>
      <c r="K50" s="1">
        <v>-1.7</v>
      </c>
      <c r="L50" s="1">
        <v>61.5</v>
      </c>
      <c r="M50" s="17">
        <v>5.4</v>
      </c>
    </row>
    <row r="51" spans="1:14" ht="14.4" x14ac:dyDescent="0.3">
      <c r="A51" s="13" t="s">
        <v>32</v>
      </c>
      <c r="B51" s="13" t="s">
        <v>26</v>
      </c>
      <c r="C51" s="15">
        <v>45480</v>
      </c>
      <c r="D51" s="2">
        <v>22.8</v>
      </c>
      <c r="E51" s="2">
        <v>50.8</v>
      </c>
      <c r="F51" s="2">
        <v>11.6</v>
      </c>
      <c r="G51" s="2">
        <v>10.199999999999999</v>
      </c>
      <c r="H51" s="13">
        <v>4.3</v>
      </c>
      <c r="I51" s="2">
        <v>99.8</v>
      </c>
      <c r="J51" s="13">
        <v>181</v>
      </c>
      <c r="K51" s="2">
        <v>-0.91</v>
      </c>
      <c r="L51" s="2">
        <v>90</v>
      </c>
      <c r="M51" s="14">
        <f t="shared" ref="M51:M68" si="2">E51/G51</f>
        <v>4.9803921568627452</v>
      </c>
      <c r="N51" s="13"/>
    </row>
    <row r="52" spans="1:14" ht="14.4" x14ac:dyDescent="0.3">
      <c r="A52" s="13" t="s">
        <v>17</v>
      </c>
      <c r="B52" s="13" t="s">
        <v>18</v>
      </c>
      <c r="C52" s="15">
        <v>45505</v>
      </c>
      <c r="D52" s="2">
        <v>24.3</v>
      </c>
      <c r="E52" s="2">
        <v>55.8</v>
      </c>
      <c r="F52" s="2">
        <v>13.3</v>
      </c>
      <c r="G52" s="2">
        <v>11.6</v>
      </c>
      <c r="H52" s="2">
        <v>4.5</v>
      </c>
      <c r="I52" s="2">
        <v>94.5</v>
      </c>
      <c r="J52" s="2">
        <v>182.3</v>
      </c>
      <c r="K52" s="2">
        <v>-0.81</v>
      </c>
      <c r="L52" s="2">
        <v>94.5</v>
      </c>
      <c r="M52" s="14">
        <f t="shared" si="2"/>
        <v>4.8103448275862064</v>
      </c>
      <c r="N52" s="13"/>
    </row>
    <row r="53" spans="1:14" ht="14.4" x14ac:dyDescent="0.3">
      <c r="A53" s="13" t="s">
        <v>40</v>
      </c>
      <c r="B53" s="13" t="s">
        <v>29</v>
      </c>
      <c r="C53" s="15">
        <v>45505</v>
      </c>
      <c r="D53" s="2">
        <v>26.9</v>
      </c>
      <c r="E53" s="2">
        <v>69.900000000000006</v>
      </c>
      <c r="F53" s="2">
        <v>14.6</v>
      </c>
      <c r="G53" s="2">
        <v>11.7</v>
      </c>
      <c r="H53" s="2">
        <v>4.7</v>
      </c>
      <c r="I53" s="2">
        <v>127.9</v>
      </c>
      <c r="J53" s="13">
        <v>193</v>
      </c>
      <c r="K53" s="2">
        <v>-0.85</v>
      </c>
      <c r="L53" s="2">
        <v>98.5</v>
      </c>
      <c r="M53" s="14">
        <f t="shared" si="2"/>
        <v>5.9743589743589753</v>
      </c>
      <c r="N53" s="13"/>
    </row>
    <row r="54" spans="1:14" ht="14.4" x14ac:dyDescent="0.3">
      <c r="A54" s="13" t="s">
        <v>30</v>
      </c>
      <c r="B54" s="13" t="s">
        <v>15</v>
      </c>
      <c r="C54" s="15">
        <v>45512</v>
      </c>
      <c r="D54" s="2">
        <v>13.1</v>
      </c>
      <c r="E54" s="2">
        <v>41.9</v>
      </c>
      <c r="F54" s="2">
        <v>9.5</v>
      </c>
      <c r="G54" s="2">
        <v>8.1</v>
      </c>
      <c r="H54" s="2">
        <v>3.9</v>
      </c>
      <c r="I54" s="2">
        <v>76.599999999999994</v>
      </c>
      <c r="J54" s="2">
        <v>182</v>
      </c>
      <c r="K54" s="2">
        <v>-2.46</v>
      </c>
      <c r="L54" s="2">
        <v>33</v>
      </c>
      <c r="M54" s="14">
        <f t="shared" si="2"/>
        <v>5.1728395061728394</v>
      </c>
      <c r="N54" s="13"/>
    </row>
    <row r="55" spans="1:14" ht="14.4" x14ac:dyDescent="0.3">
      <c r="A55" s="13" t="s">
        <v>33</v>
      </c>
      <c r="B55" s="13" t="s">
        <v>34</v>
      </c>
      <c r="C55" s="15">
        <v>45512</v>
      </c>
      <c r="D55" s="2">
        <v>13.2</v>
      </c>
      <c r="E55" s="2">
        <v>38.5</v>
      </c>
      <c r="F55" s="2">
        <v>7.9</v>
      </c>
      <c r="G55" s="2">
        <v>8.4</v>
      </c>
      <c r="H55" s="13">
        <v>3.8</v>
      </c>
      <c r="I55" s="2">
        <v>72</v>
      </c>
      <c r="J55" s="13">
        <v>182.6</v>
      </c>
      <c r="K55" s="2">
        <v>-2.5</v>
      </c>
      <c r="L55" s="2">
        <v>32</v>
      </c>
      <c r="M55" s="14">
        <f t="shared" si="2"/>
        <v>4.583333333333333</v>
      </c>
      <c r="N55" s="13"/>
    </row>
    <row r="56" spans="1:14" ht="14.4" x14ac:dyDescent="0.3">
      <c r="A56" s="13" t="s">
        <v>31</v>
      </c>
      <c r="B56" s="13" t="s">
        <v>26</v>
      </c>
      <c r="C56" s="15">
        <v>45519</v>
      </c>
      <c r="D56" s="2">
        <v>19.7</v>
      </c>
      <c r="E56" s="2">
        <v>49.2</v>
      </c>
      <c r="F56" s="2">
        <v>9.6</v>
      </c>
      <c r="G56" s="2">
        <v>10.6</v>
      </c>
      <c r="H56" s="2">
        <v>4.0999999999999996</v>
      </c>
      <c r="I56" s="2">
        <v>93.2</v>
      </c>
      <c r="J56" s="2">
        <v>186</v>
      </c>
      <c r="K56" s="2">
        <v>-1.56</v>
      </c>
      <c r="L56" s="2">
        <v>68</v>
      </c>
      <c r="M56" s="14">
        <f t="shared" si="2"/>
        <v>4.6415094339622645</v>
      </c>
      <c r="N56" s="13"/>
    </row>
    <row r="57" spans="1:14" ht="14.4" x14ac:dyDescent="0.3">
      <c r="A57" s="13" t="s">
        <v>32</v>
      </c>
      <c r="B57" s="13" t="s">
        <v>26</v>
      </c>
      <c r="C57" s="15">
        <v>45519</v>
      </c>
      <c r="D57" s="2">
        <v>20.3</v>
      </c>
      <c r="E57" s="2">
        <v>51.3</v>
      </c>
      <c r="F57" s="2">
        <v>11.6</v>
      </c>
      <c r="G57" s="2">
        <v>10.199999999999999</v>
      </c>
      <c r="H57" s="2">
        <v>4.2</v>
      </c>
      <c r="I57" s="2">
        <v>97.6</v>
      </c>
      <c r="J57" s="13">
        <v>181</v>
      </c>
      <c r="K57" s="2">
        <v>-1.3</v>
      </c>
      <c r="L57" s="2">
        <v>75.5</v>
      </c>
      <c r="M57" s="14">
        <f t="shared" si="2"/>
        <v>5.0294117647058822</v>
      </c>
      <c r="N57" s="13"/>
    </row>
    <row r="58" spans="1:14" ht="14.4" x14ac:dyDescent="0.3">
      <c r="A58" s="13" t="s">
        <v>25</v>
      </c>
      <c r="B58" s="13" t="s">
        <v>26</v>
      </c>
      <c r="C58" s="15">
        <v>45526</v>
      </c>
      <c r="D58" s="2">
        <v>20.6</v>
      </c>
      <c r="E58" s="2">
        <v>50.1</v>
      </c>
      <c r="F58" s="2">
        <v>11.1</v>
      </c>
      <c r="G58" s="2">
        <v>8.8000000000000007</v>
      </c>
      <c r="H58" s="2">
        <v>4.0999999999999996</v>
      </c>
      <c r="I58" s="2">
        <v>94.7</v>
      </c>
      <c r="J58" s="2">
        <v>191.8</v>
      </c>
      <c r="K58" s="2">
        <v>-1.61</v>
      </c>
      <c r="L58" s="2">
        <v>68</v>
      </c>
      <c r="M58" s="14">
        <f t="shared" si="2"/>
        <v>5.6931818181818175</v>
      </c>
      <c r="N58" s="13"/>
    </row>
    <row r="59" spans="1:14" ht="14.4" x14ac:dyDescent="0.3">
      <c r="A59" s="13" t="s">
        <v>36</v>
      </c>
      <c r="B59" s="13" t="s">
        <v>26</v>
      </c>
      <c r="C59" s="15">
        <v>45526</v>
      </c>
      <c r="D59" s="2">
        <v>17.600000000000001</v>
      </c>
      <c r="E59" s="2">
        <v>54.8</v>
      </c>
      <c r="F59" s="2">
        <v>11.7</v>
      </c>
      <c r="G59" s="2">
        <v>10.9</v>
      </c>
      <c r="H59" s="2">
        <v>4.5</v>
      </c>
      <c r="I59" s="2">
        <v>99.4</v>
      </c>
      <c r="J59" s="2">
        <v>191</v>
      </c>
      <c r="K59" s="2">
        <v>-2.14</v>
      </c>
      <c r="L59" s="2">
        <v>47</v>
      </c>
      <c r="M59" s="14">
        <f t="shared" si="2"/>
        <v>5.0275229357798157</v>
      </c>
      <c r="N59" s="13"/>
    </row>
    <row r="60" spans="1:14" ht="14.4" x14ac:dyDescent="0.3">
      <c r="A60" s="13" t="s">
        <v>24</v>
      </c>
      <c r="B60" s="13" t="s">
        <v>22</v>
      </c>
      <c r="C60" s="15">
        <v>45533</v>
      </c>
      <c r="D60" s="2">
        <v>23.1</v>
      </c>
      <c r="E60" s="2">
        <v>68.5</v>
      </c>
      <c r="F60" s="2">
        <v>17.2</v>
      </c>
      <c r="G60" s="2">
        <v>12.7</v>
      </c>
      <c r="H60" s="2">
        <v>4.8</v>
      </c>
      <c r="I60" s="2">
        <v>126.3</v>
      </c>
      <c r="J60" s="2">
        <v>180.2</v>
      </c>
      <c r="K60" s="2">
        <v>-0.92</v>
      </c>
      <c r="L60" s="2">
        <v>89.5</v>
      </c>
      <c r="M60" s="14">
        <f t="shared" si="2"/>
        <v>5.393700787401575</v>
      </c>
      <c r="N60" s="13"/>
    </row>
    <row r="61" spans="1:14" ht="14.4" x14ac:dyDescent="0.3">
      <c r="A61" s="13" t="s">
        <v>60</v>
      </c>
      <c r="B61" s="13" t="s">
        <v>29</v>
      </c>
      <c r="C61" s="15">
        <v>45534</v>
      </c>
      <c r="D61" s="2">
        <v>17.8</v>
      </c>
      <c r="E61" s="2">
        <v>57.7</v>
      </c>
      <c r="F61" s="2">
        <v>11.9</v>
      </c>
      <c r="G61" s="2">
        <v>10</v>
      </c>
      <c r="H61" s="2">
        <v>4.4000000000000004</v>
      </c>
      <c r="I61" s="2">
        <v>101.9</v>
      </c>
      <c r="J61" s="2">
        <v>185</v>
      </c>
      <c r="K61" s="2">
        <v>-1.85</v>
      </c>
      <c r="L61" s="2">
        <v>56.5</v>
      </c>
      <c r="M61" s="14">
        <f t="shared" si="2"/>
        <v>5.7700000000000005</v>
      </c>
      <c r="N61" s="13"/>
    </row>
    <row r="62" spans="1:14" ht="14.4" x14ac:dyDescent="0.3">
      <c r="A62" s="13" t="s">
        <v>17</v>
      </c>
      <c r="B62" s="13" t="s">
        <v>18</v>
      </c>
      <c r="C62" s="15">
        <v>45547</v>
      </c>
      <c r="D62" s="2">
        <v>23.4</v>
      </c>
      <c r="E62" s="2">
        <v>55.4</v>
      </c>
      <c r="F62" s="2">
        <v>13.6</v>
      </c>
      <c r="G62" s="2">
        <v>11.6</v>
      </c>
      <c r="H62" s="2">
        <v>4.5</v>
      </c>
      <c r="I62" s="2">
        <v>89.5</v>
      </c>
      <c r="J62" s="2">
        <v>182.3</v>
      </c>
      <c r="K62" s="2">
        <v>-0.94</v>
      </c>
      <c r="L62" s="2">
        <v>89.5</v>
      </c>
      <c r="M62" s="14">
        <f t="shared" si="2"/>
        <v>4.7758620689655169</v>
      </c>
      <c r="N62" s="13"/>
    </row>
    <row r="63" spans="1:14" ht="14.4" x14ac:dyDescent="0.3">
      <c r="A63" s="13" t="s">
        <v>74</v>
      </c>
      <c r="B63" s="13" t="s">
        <v>22</v>
      </c>
      <c r="C63" s="15">
        <v>45547</v>
      </c>
      <c r="D63" s="2">
        <v>21.5</v>
      </c>
      <c r="E63" s="2">
        <v>55.8</v>
      </c>
      <c r="F63" s="2">
        <v>12.2</v>
      </c>
      <c r="G63" s="2">
        <v>11.4</v>
      </c>
      <c r="H63" s="2">
        <v>4.3</v>
      </c>
      <c r="I63" s="2">
        <v>105.2</v>
      </c>
      <c r="J63" s="2">
        <v>183.8</v>
      </c>
      <c r="K63" s="2">
        <v>-1.1200000000000001</v>
      </c>
      <c r="L63" s="2">
        <v>83.5</v>
      </c>
      <c r="M63" s="14">
        <f t="shared" si="2"/>
        <v>4.8947368421052628</v>
      </c>
      <c r="N63" s="13"/>
    </row>
    <row r="64" spans="1:14" ht="14.4" x14ac:dyDescent="0.3">
      <c r="A64" s="13" t="s">
        <v>43</v>
      </c>
      <c r="B64" s="13" t="s">
        <v>29</v>
      </c>
      <c r="C64" s="15">
        <v>45547</v>
      </c>
      <c r="D64" s="2">
        <v>19.5</v>
      </c>
      <c r="E64" s="2">
        <v>52.7</v>
      </c>
      <c r="F64" s="2">
        <v>11.6</v>
      </c>
      <c r="G64" s="2">
        <v>12.2</v>
      </c>
      <c r="H64" s="2">
        <v>4.5</v>
      </c>
      <c r="I64" s="2">
        <v>100.5</v>
      </c>
      <c r="J64" s="2">
        <v>193.8</v>
      </c>
      <c r="K64" s="2">
        <v>-1.95</v>
      </c>
      <c r="L64" s="2">
        <v>55.5</v>
      </c>
      <c r="M64" s="14">
        <f t="shared" si="2"/>
        <v>4.3196721311475414</v>
      </c>
      <c r="N64" s="13"/>
    </row>
    <row r="65" spans="1:14" ht="14.4" x14ac:dyDescent="0.3">
      <c r="A65" s="13" t="s">
        <v>21</v>
      </c>
      <c r="B65" s="13" t="s">
        <v>22</v>
      </c>
      <c r="C65" s="15">
        <v>45554</v>
      </c>
      <c r="D65" s="2">
        <v>24.6</v>
      </c>
      <c r="E65" s="2">
        <v>63.1</v>
      </c>
      <c r="F65" s="2">
        <v>15.2</v>
      </c>
      <c r="G65" s="2">
        <v>12.5</v>
      </c>
      <c r="H65" s="2">
        <v>4.7</v>
      </c>
      <c r="I65" s="2">
        <v>120.1</v>
      </c>
      <c r="J65" s="2">
        <v>180</v>
      </c>
      <c r="K65" s="2">
        <v>-0.64</v>
      </c>
      <c r="L65" s="2">
        <v>99.5</v>
      </c>
      <c r="M65" s="14">
        <f t="shared" si="2"/>
        <v>5.048</v>
      </c>
      <c r="N65" s="13"/>
    </row>
    <row r="66" spans="1:14" ht="14.4" x14ac:dyDescent="0.3">
      <c r="A66" s="13" t="s">
        <v>31</v>
      </c>
      <c r="B66" s="13" t="s">
        <v>26</v>
      </c>
      <c r="C66" s="15">
        <v>45554</v>
      </c>
      <c r="D66" s="2">
        <v>18.8</v>
      </c>
      <c r="E66" s="2">
        <v>51.4</v>
      </c>
      <c r="F66" s="2">
        <v>9.5</v>
      </c>
      <c r="G66" s="2">
        <v>10.6</v>
      </c>
      <c r="H66" s="2">
        <v>4.2</v>
      </c>
      <c r="I66" s="2">
        <v>94.5</v>
      </c>
      <c r="J66" s="2">
        <v>186</v>
      </c>
      <c r="K66" s="2">
        <v>-1.73</v>
      </c>
      <c r="L66" s="2">
        <v>61.5</v>
      </c>
      <c r="M66" s="14">
        <f t="shared" si="2"/>
        <v>4.8490566037735849</v>
      </c>
      <c r="N66" s="13"/>
    </row>
    <row r="67" spans="1:14" ht="14.4" x14ac:dyDescent="0.3">
      <c r="A67" s="13" t="s">
        <v>95</v>
      </c>
      <c r="B67" s="1" t="s">
        <v>34</v>
      </c>
      <c r="C67" s="16">
        <v>45554</v>
      </c>
      <c r="D67" s="1">
        <v>15.92</v>
      </c>
      <c r="E67" s="1">
        <v>42.63</v>
      </c>
      <c r="F67" s="1">
        <v>9.76</v>
      </c>
      <c r="G67" s="1">
        <v>7.79</v>
      </c>
      <c r="H67" s="1">
        <v>3.9</v>
      </c>
      <c r="I67" s="1">
        <v>80</v>
      </c>
      <c r="J67" s="1">
        <v>172.3</v>
      </c>
      <c r="K67" s="1">
        <v>-1.69</v>
      </c>
      <c r="L67" s="1">
        <v>58.5</v>
      </c>
      <c r="M67" s="17">
        <f t="shared" si="2"/>
        <v>5.472400513478819</v>
      </c>
    </row>
    <row r="68" spans="1:14" ht="14.4" x14ac:dyDescent="0.3">
      <c r="A68" s="13" t="s">
        <v>23</v>
      </c>
      <c r="B68" s="13" t="s">
        <v>15</v>
      </c>
      <c r="C68" s="15">
        <v>45561</v>
      </c>
      <c r="D68" s="2">
        <v>13.6</v>
      </c>
      <c r="E68" s="2">
        <v>40.5</v>
      </c>
      <c r="F68" s="2">
        <v>9.1</v>
      </c>
      <c r="G68" s="2">
        <v>7.9</v>
      </c>
      <c r="H68" s="2">
        <v>3.8</v>
      </c>
      <c r="I68" s="2">
        <v>74.900000000000006</v>
      </c>
      <c r="J68" s="2">
        <v>182.2</v>
      </c>
      <c r="K68" s="2">
        <v>-2.35</v>
      </c>
      <c r="L68" s="2">
        <v>37</v>
      </c>
      <c r="M68" s="14">
        <f t="shared" si="2"/>
        <v>5.1265822784810124</v>
      </c>
      <c r="N68" s="13"/>
    </row>
    <row r="69" spans="1:14" ht="14.4" x14ac:dyDescent="0.3">
      <c r="A69" s="13" t="s">
        <v>50</v>
      </c>
      <c r="B69" s="1" t="s">
        <v>16</v>
      </c>
      <c r="C69" s="16">
        <v>45561</v>
      </c>
      <c r="D69" s="1">
        <v>19.239999999999998</v>
      </c>
      <c r="E69" s="1">
        <v>51.3</v>
      </c>
      <c r="F69" s="1">
        <v>10.14</v>
      </c>
      <c r="G69" s="1">
        <v>9.5399999999999991</v>
      </c>
      <c r="H69" s="1">
        <v>4.28</v>
      </c>
      <c r="I69" s="1">
        <v>94.5</v>
      </c>
      <c r="J69" s="1">
        <v>183</v>
      </c>
      <c r="K69" s="1">
        <v>-1.61</v>
      </c>
      <c r="L69" s="1">
        <v>65</v>
      </c>
      <c r="M69" s="17">
        <v>5.4</v>
      </c>
    </row>
    <row r="70" spans="1:14" ht="14.4" x14ac:dyDescent="0.3">
      <c r="A70" s="13" t="s">
        <v>32</v>
      </c>
      <c r="B70" s="13" t="s">
        <v>26</v>
      </c>
      <c r="C70" s="15">
        <v>45568</v>
      </c>
      <c r="D70" s="2">
        <v>19.3</v>
      </c>
      <c r="E70" s="2">
        <v>49.6</v>
      </c>
      <c r="F70" s="2">
        <v>11.2</v>
      </c>
      <c r="G70" s="2">
        <v>10.199999999999999</v>
      </c>
      <c r="H70" s="2">
        <v>4.0999999999999996</v>
      </c>
      <c r="I70" s="2">
        <v>94.4</v>
      </c>
      <c r="J70" s="13">
        <v>181</v>
      </c>
      <c r="K70" s="2">
        <v>-1.4</v>
      </c>
      <c r="L70" s="2">
        <v>70.5</v>
      </c>
      <c r="M70" s="14">
        <f>E70/G70</f>
        <v>4.8627450980392162</v>
      </c>
      <c r="N70" s="13"/>
    </row>
    <row r="71" spans="1:14" ht="14.4" x14ac:dyDescent="0.3">
      <c r="A71" s="13" t="s">
        <v>47</v>
      </c>
      <c r="B71" s="13" t="s">
        <v>26</v>
      </c>
      <c r="C71" s="15">
        <v>45568</v>
      </c>
      <c r="D71" s="2">
        <v>17.84</v>
      </c>
      <c r="E71" s="2">
        <v>48.05</v>
      </c>
      <c r="F71" s="2">
        <v>10.63</v>
      </c>
      <c r="G71" s="2">
        <v>9.23</v>
      </c>
      <c r="H71" s="2">
        <v>3.96</v>
      </c>
      <c r="I71" s="2">
        <v>89.7</v>
      </c>
      <c r="J71" s="2">
        <v>177.2</v>
      </c>
      <c r="K71" s="2"/>
      <c r="L71" s="2">
        <v>68.5</v>
      </c>
      <c r="M71" s="14">
        <f>E71/G71</f>
        <v>5.2058504875406282</v>
      </c>
      <c r="N71" s="13"/>
    </row>
    <row r="72" spans="1:14" ht="14.4" x14ac:dyDescent="0.3">
      <c r="A72" s="13" t="s">
        <v>49</v>
      </c>
      <c r="B72" s="1" t="s">
        <v>26</v>
      </c>
      <c r="C72" s="16">
        <v>45568</v>
      </c>
      <c r="D72" s="1">
        <v>19.13</v>
      </c>
      <c r="E72" s="1">
        <v>53.28</v>
      </c>
      <c r="F72" s="1">
        <v>14.36</v>
      </c>
      <c r="G72" s="1">
        <v>10.62</v>
      </c>
      <c r="H72" s="1">
        <v>4.33</v>
      </c>
      <c r="I72" s="1">
        <v>101.7</v>
      </c>
      <c r="J72" s="1">
        <v>188</v>
      </c>
      <c r="K72" s="1">
        <v>-1.73</v>
      </c>
      <c r="L72" s="1">
        <v>62</v>
      </c>
      <c r="M72" s="17">
        <v>5.0199999999999996</v>
      </c>
    </row>
    <row r="73" spans="1:14" ht="14.4" x14ac:dyDescent="0.3">
      <c r="A73" s="13" t="s">
        <v>21</v>
      </c>
      <c r="B73" s="13" t="s">
        <v>22</v>
      </c>
      <c r="C73" s="15">
        <v>45582</v>
      </c>
      <c r="D73" s="2">
        <v>23</v>
      </c>
      <c r="E73" s="2">
        <v>60.6</v>
      </c>
      <c r="F73" s="2">
        <v>15.1</v>
      </c>
      <c r="G73" s="2">
        <v>12.5</v>
      </c>
      <c r="H73" s="2">
        <v>4.5</v>
      </c>
      <c r="I73" s="2">
        <v>115.7</v>
      </c>
      <c r="J73" s="2">
        <v>180</v>
      </c>
      <c r="K73" s="2">
        <v>-0.85</v>
      </c>
      <c r="L73" s="2">
        <v>92</v>
      </c>
      <c r="M73" s="14">
        <f>E73/G73</f>
        <v>4.8479999999999999</v>
      </c>
      <c r="N73" s="13"/>
    </row>
    <row r="74" spans="1:14" ht="14.4" x14ac:dyDescent="0.3">
      <c r="A74" s="13" t="s">
        <v>75</v>
      </c>
      <c r="B74" s="1" t="s">
        <v>15</v>
      </c>
      <c r="C74" s="16">
        <v>45582</v>
      </c>
      <c r="D74" s="1">
        <v>12.17</v>
      </c>
      <c r="E74" s="1">
        <v>34.39</v>
      </c>
      <c r="F74" s="1">
        <v>7.5</v>
      </c>
      <c r="G74" s="1">
        <v>7.78</v>
      </c>
      <c r="H74" s="1">
        <v>3.57</v>
      </c>
      <c r="I74" s="1">
        <v>65.400000000000006</v>
      </c>
      <c r="J74" s="1">
        <v>172.8</v>
      </c>
      <c r="K74" s="1">
        <v>-2.33</v>
      </c>
      <c r="L74" s="1">
        <v>36</v>
      </c>
      <c r="M74" s="17">
        <v>4.4000000000000004</v>
      </c>
    </row>
    <row r="75" spans="1:14" ht="14.4" x14ac:dyDescent="0.3">
      <c r="A75" s="13" t="s">
        <v>60</v>
      </c>
      <c r="B75" s="13" t="s">
        <v>29</v>
      </c>
      <c r="C75" s="15">
        <v>45587</v>
      </c>
      <c r="D75" s="2">
        <v>17.100000000000001</v>
      </c>
      <c r="E75" s="2">
        <v>54.7</v>
      </c>
      <c r="F75" s="2">
        <v>11.2</v>
      </c>
      <c r="G75" s="2">
        <v>10</v>
      </c>
      <c r="H75" s="2">
        <v>4.3</v>
      </c>
      <c r="I75" s="2">
        <v>97.3</v>
      </c>
      <c r="J75" s="2">
        <v>185</v>
      </c>
      <c r="K75" s="2">
        <v>-1.93</v>
      </c>
      <c r="L75" s="2">
        <v>53.5</v>
      </c>
      <c r="M75" s="14">
        <f t="shared" ref="M75:M85" si="3">E75/G75</f>
        <v>5.4700000000000006</v>
      </c>
      <c r="N75" s="13"/>
    </row>
    <row r="76" spans="1:14" ht="14.4" x14ac:dyDescent="0.3">
      <c r="A76" s="13" t="s">
        <v>32</v>
      </c>
      <c r="B76" s="13" t="s">
        <v>26</v>
      </c>
      <c r="C76" s="15">
        <v>45603</v>
      </c>
      <c r="D76" s="2">
        <v>18</v>
      </c>
      <c r="E76" s="2">
        <v>49.7</v>
      </c>
      <c r="F76" s="2">
        <v>11</v>
      </c>
      <c r="G76" s="13">
        <v>10.199999999999999</v>
      </c>
      <c r="H76" s="2">
        <v>4.2</v>
      </c>
      <c r="I76" s="2">
        <v>93.2</v>
      </c>
      <c r="J76" s="13">
        <v>181</v>
      </c>
      <c r="K76" s="2">
        <v>-1.66</v>
      </c>
      <c r="L76" s="2">
        <v>62.5</v>
      </c>
      <c r="M76" s="14">
        <f t="shared" si="3"/>
        <v>4.8725490196078436</v>
      </c>
      <c r="N76" s="13"/>
    </row>
    <row r="77" spans="1:14" ht="14.4" x14ac:dyDescent="0.3">
      <c r="A77" s="13" t="s">
        <v>33</v>
      </c>
      <c r="B77" s="13" t="s">
        <v>34</v>
      </c>
      <c r="C77" s="15">
        <v>45603</v>
      </c>
      <c r="D77" s="2">
        <v>14</v>
      </c>
      <c r="E77" s="2">
        <v>38.700000000000003</v>
      </c>
      <c r="F77" s="2">
        <v>7.7</v>
      </c>
      <c r="G77" s="13">
        <v>8.4</v>
      </c>
      <c r="H77" s="2">
        <v>3.9</v>
      </c>
      <c r="I77" s="2">
        <v>72.7</v>
      </c>
      <c r="J77" s="13">
        <v>182.6</v>
      </c>
      <c r="K77" s="2">
        <v>-2.4</v>
      </c>
      <c r="L77" s="2">
        <v>35</v>
      </c>
      <c r="M77" s="14">
        <f t="shared" si="3"/>
        <v>4.6071428571428577</v>
      </c>
      <c r="N77" s="13"/>
    </row>
    <row r="78" spans="1:14" ht="14.4" x14ac:dyDescent="0.3">
      <c r="A78" s="13" t="s">
        <v>43</v>
      </c>
      <c r="B78" s="13" t="s">
        <v>29</v>
      </c>
      <c r="C78" s="15">
        <v>45603</v>
      </c>
      <c r="D78" s="2">
        <v>19.8</v>
      </c>
      <c r="E78" s="2">
        <v>52.3</v>
      </c>
      <c r="F78" s="2">
        <v>11.5</v>
      </c>
      <c r="G78" s="2">
        <v>12.2</v>
      </c>
      <c r="H78" s="2">
        <v>4.5</v>
      </c>
      <c r="I78" s="2">
        <v>100.3</v>
      </c>
      <c r="J78" s="2">
        <v>193.8</v>
      </c>
      <c r="K78" s="2">
        <v>-1.91</v>
      </c>
      <c r="L78" s="2">
        <v>57</v>
      </c>
      <c r="M78" s="14">
        <f t="shared" si="3"/>
        <v>4.2868852459016393</v>
      </c>
      <c r="N78" s="13"/>
    </row>
    <row r="79" spans="1:14" ht="14.4" x14ac:dyDescent="0.3">
      <c r="A79" s="13" t="s">
        <v>25</v>
      </c>
      <c r="B79" s="13" t="s">
        <v>26</v>
      </c>
      <c r="C79" s="15">
        <v>45610</v>
      </c>
      <c r="D79" s="2">
        <v>20.399999999999999</v>
      </c>
      <c r="E79" s="2">
        <v>49.8</v>
      </c>
      <c r="F79" s="2">
        <v>11.1</v>
      </c>
      <c r="G79" s="2">
        <v>8.8000000000000007</v>
      </c>
      <c r="H79" s="2">
        <v>4.0999999999999996</v>
      </c>
      <c r="I79" s="2">
        <v>94.2</v>
      </c>
      <c r="J79" s="2">
        <v>191.8</v>
      </c>
      <c r="K79" s="2">
        <v>-1.66</v>
      </c>
      <c r="L79" s="2">
        <v>66</v>
      </c>
      <c r="M79" s="14">
        <f t="shared" si="3"/>
        <v>5.6590909090909083</v>
      </c>
      <c r="N79" s="13"/>
    </row>
    <row r="80" spans="1:14" ht="14.4" x14ac:dyDescent="0.3">
      <c r="A80" s="13" t="s">
        <v>36</v>
      </c>
      <c r="B80" s="13" t="s">
        <v>26</v>
      </c>
      <c r="C80" s="15">
        <v>45631</v>
      </c>
      <c r="D80" s="2">
        <v>20</v>
      </c>
      <c r="E80" s="2">
        <v>54</v>
      </c>
      <c r="F80" s="2">
        <v>11.7</v>
      </c>
      <c r="G80" s="2">
        <v>10.9</v>
      </c>
      <c r="H80" s="2">
        <v>4.5</v>
      </c>
      <c r="I80" s="2">
        <v>101</v>
      </c>
      <c r="J80" s="2">
        <v>191</v>
      </c>
      <c r="K80" s="2">
        <v>-1.85</v>
      </c>
      <c r="L80" s="2">
        <v>58.5</v>
      </c>
      <c r="M80" s="14">
        <f t="shared" si="3"/>
        <v>4.9541284403669721</v>
      </c>
      <c r="N80" s="13"/>
    </row>
    <row r="81" spans="1:14" ht="14.4" x14ac:dyDescent="0.3">
      <c r="A81" s="13" t="s">
        <v>33</v>
      </c>
      <c r="B81" s="13" t="s">
        <v>34</v>
      </c>
      <c r="C81" s="15">
        <v>45636</v>
      </c>
      <c r="D81" s="2">
        <v>14.7</v>
      </c>
      <c r="E81" s="2">
        <v>39.299999999999997</v>
      </c>
      <c r="F81" s="2">
        <v>7.6</v>
      </c>
      <c r="G81" s="13">
        <v>8.4</v>
      </c>
      <c r="H81" s="2">
        <v>3.9</v>
      </c>
      <c r="I81" s="2">
        <v>74</v>
      </c>
      <c r="J81" s="13">
        <v>182.6</v>
      </c>
      <c r="K81" s="13">
        <v>-2.2999999999999998</v>
      </c>
      <c r="L81" s="2">
        <v>39</v>
      </c>
      <c r="M81" s="14">
        <f t="shared" si="3"/>
        <v>4.6785714285714279</v>
      </c>
      <c r="N81" s="13"/>
    </row>
    <row r="82" spans="1:14" ht="14.4" x14ac:dyDescent="0.3">
      <c r="A82" s="13" t="s">
        <v>21</v>
      </c>
      <c r="B82" s="13" t="s">
        <v>22</v>
      </c>
      <c r="C82" s="15">
        <v>45638</v>
      </c>
      <c r="D82" s="2">
        <v>24.5</v>
      </c>
      <c r="E82" s="2">
        <v>57.8</v>
      </c>
      <c r="F82" s="2">
        <v>14.6</v>
      </c>
      <c r="G82" s="2">
        <v>12.5</v>
      </c>
      <c r="H82" s="2">
        <v>4.5</v>
      </c>
      <c r="I82" s="2">
        <v>113.9</v>
      </c>
      <c r="J82" s="2">
        <v>180</v>
      </c>
      <c r="K82" s="2">
        <v>-0.59</v>
      </c>
      <c r="L82" s="2">
        <v>101.5</v>
      </c>
      <c r="M82" s="14">
        <f t="shared" si="3"/>
        <v>4.6239999999999997</v>
      </c>
      <c r="N82" s="13"/>
    </row>
    <row r="83" spans="1:14" ht="14.4" x14ac:dyDescent="0.3">
      <c r="A83" s="13" t="s">
        <v>28</v>
      </c>
      <c r="B83" s="13" t="s">
        <v>29</v>
      </c>
      <c r="C83" s="15">
        <v>45638</v>
      </c>
      <c r="D83" s="2">
        <v>18.899999999999999</v>
      </c>
      <c r="E83" s="2">
        <v>48.8</v>
      </c>
      <c r="F83" s="2">
        <v>10.199999999999999</v>
      </c>
      <c r="G83" s="2">
        <v>10.3</v>
      </c>
      <c r="H83" s="2">
        <v>4.5</v>
      </c>
      <c r="I83" s="2">
        <v>92.8</v>
      </c>
      <c r="J83" s="2">
        <v>193</v>
      </c>
      <c r="K83" s="2">
        <v>-2.1</v>
      </c>
      <c r="L83" s="2">
        <v>48.5</v>
      </c>
      <c r="M83" s="14">
        <f t="shared" si="3"/>
        <v>4.7378640776699026</v>
      </c>
      <c r="N83" s="13"/>
    </row>
    <row r="84" spans="1:14" ht="14.4" x14ac:dyDescent="0.3">
      <c r="A84" s="13" t="s">
        <v>74</v>
      </c>
      <c r="B84" s="13" t="s">
        <v>22</v>
      </c>
      <c r="C84" s="15">
        <v>45638</v>
      </c>
      <c r="D84" s="2">
        <v>22.8</v>
      </c>
      <c r="E84" s="2">
        <v>56</v>
      </c>
      <c r="F84" s="2">
        <v>11.6</v>
      </c>
      <c r="G84" s="2">
        <v>11.4</v>
      </c>
      <c r="H84" s="2">
        <v>4.3</v>
      </c>
      <c r="I84" s="2">
        <v>106.1</v>
      </c>
      <c r="J84" s="2">
        <v>183.8</v>
      </c>
      <c r="K84" s="2">
        <v>-0.95</v>
      </c>
      <c r="L84" s="2">
        <v>90</v>
      </c>
      <c r="M84" s="14">
        <f t="shared" si="3"/>
        <v>4.9122807017543861</v>
      </c>
      <c r="N84" s="13"/>
    </row>
    <row r="85" spans="1:14" ht="14.4" x14ac:dyDescent="0.3">
      <c r="A85" s="13" t="s">
        <v>43</v>
      </c>
      <c r="B85" s="13" t="s">
        <v>29</v>
      </c>
      <c r="C85" s="15">
        <v>45638</v>
      </c>
      <c r="D85" s="2">
        <v>20.3</v>
      </c>
      <c r="E85" s="2">
        <v>53.7</v>
      </c>
      <c r="F85" s="2">
        <v>11.8</v>
      </c>
      <c r="G85" s="2">
        <v>12.2</v>
      </c>
      <c r="H85" s="2">
        <v>4.5</v>
      </c>
      <c r="I85" s="2">
        <v>102.5</v>
      </c>
      <c r="J85" s="2">
        <v>193.8</v>
      </c>
      <c r="K85" s="2">
        <v>-1.86</v>
      </c>
      <c r="L85" s="2">
        <v>59</v>
      </c>
      <c r="M85" s="14">
        <f t="shared" si="3"/>
        <v>4.4016393442622954</v>
      </c>
      <c r="N85" s="13"/>
    </row>
    <row r="86" spans="1:14" ht="14.4" x14ac:dyDescent="0.3">
      <c r="A86" s="13" t="s">
        <v>75</v>
      </c>
      <c r="B86" s="1" t="s">
        <v>15</v>
      </c>
      <c r="C86" s="16">
        <v>45638</v>
      </c>
      <c r="D86" s="1">
        <v>14.66</v>
      </c>
      <c r="E86" s="1">
        <v>37.85</v>
      </c>
      <c r="F86" s="1">
        <v>7.46</v>
      </c>
      <c r="G86" s="1">
        <v>7.78</v>
      </c>
      <c r="H86" s="1">
        <v>3.65</v>
      </c>
      <c r="I86" s="1">
        <v>71.400000000000006</v>
      </c>
      <c r="J86" s="1">
        <v>172.8</v>
      </c>
      <c r="K86" s="1">
        <v>-1.87</v>
      </c>
      <c r="L86" s="1">
        <v>52</v>
      </c>
      <c r="M86" s="17">
        <v>4.87</v>
      </c>
    </row>
    <row r="87" spans="1:14" ht="13.8" x14ac:dyDescent="0.25">
      <c r="A87" s="8" t="s">
        <v>60</v>
      </c>
      <c r="B87" s="8" t="s">
        <v>29</v>
      </c>
      <c r="C87" s="5">
        <v>45674</v>
      </c>
      <c r="D87" s="6">
        <v>16.739999999999998</v>
      </c>
      <c r="E87" s="6">
        <v>57.47</v>
      </c>
      <c r="F87" s="6">
        <v>11.71</v>
      </c>
      <c r="G87" s="6">
        <v>10.039999999999999</v>
      </c>
      <c r="H87" s="6">
        <v>4.34</v>
      </c>
      <c r="I87" s="6">
        <v>100.3</v>
      </c>
      <c r="J87" s="6">
        <v>185</v>
      </c>
      <c r="K87" s="6">
        <v>-2</v>
      </c>
      <c r="L87" s="6">
        <v>51</v>
      </c>
      <c r="M87" s="7">
        <f t="shared" ref="M87:M93" si="4">E87/G87</f>
        <v>5.724103585657371</v>
      </c>
      <c r="N87" s="2"/>
    </row>
    <row r="88" spans="1:14" ht="13.8" x14ac:dyDescent="0.25">
      <c r="A88" s="8" t="s">
        <v>23</v>
      </c>
      <c r="B88" s="8" t="s">
        <v>15</v>
      </c>
      <c r="C88" s="5">
        <v>45694</v>
      </c>
      <c r="D88" s="6">
        <v>13.09</v>
      </c>
      <c r="E88" s="6">
        <v>43.63</v>
      </c>
      <c r="F88" s="6">
        <v>9.65</v>
      </c>
      <c r="G88" s="6">
        <v>7.9</v>
      </c>
      <c r="H88" s="6">
        <v>3.84</v>
      </c>
      <c r="I88" s="6">
        <v>78.099999999999994</v>
      </c>
      <c r="J88" s="6">
        <v>182.2</v>
      </c>
      <c r="K88" s="6">
        <v>-2.42</v>
      </c>
      <c r="L88" s="6">
        <v>34.5</v>
      </c>
      <c r="M88" s="7">
        <f t="shared" si="4"/>
        <v>5.5227848101265824</v>
      </c>
      <c r="N88" s="2"/>
    </row>
    <row r="89" spans="1:14" ht="13.8" x14ac:dyDescent="0.25">
      <c r="A89" s="8" t="s">
        <v>25</v>
      </c>
      <c r="B89" s="8" t="s">
        <v>26</v>
      </c>
      <c r="C89" s="5">
        <v>45694</v>
      </c>
      <c r="D89" s="6">
        <v>22.56</v>
      </c>
      <c r="E89" s="6">
        <v>49.89</v>
      </c>
      <c r="F89" s="6">
        <v>11.2</v>
      </c>
      <c r="G89" s="6">
        <v>8.77</v>
      </c>
      <c r="H89" s="6">
        <v>4.18</v>
      </c>
      <c r="I89" s="6">
        <v>96.6</v>
      </c>
      <c r="J89" s="6">
        <v>191.8</v>
      </c>
      <c r="K89" s="6">
        <v>-1.36</v>
      </c>
      <c r="L89" s="6">
        <v>78</v>
      </c>
      <c r="M89" s="7">
        <f t="shared" si="4"/>
        <v>5.6887115165336377</v>
      </c>
      <c r="N89" s="2"/>
    </row>
    <row r="90" spans="1:14" ht="13.8" x14ac:dyDescent="0.25">
      <c r="A90" s="8" t="s">
        <v>32</v>
      </c>
      <c r="B90" s="8" t="s">
        <v>26</v>
      </c>
      <c r="C90" s="5">
        <v>45694</v>
      </c>
      <c r="D90" s="6">
        <v>21.25</v>
      </c>
      <c r="E90" s="6">
        <v>49.31</v>
      </c>
      <c r="F90" s="6">
        <v>10.89</v>
      </c>
      <c r="G90" s="6">
        <v>10.24</v>
      </c>
      <c r="H90" s="6">
        <v>4.1100000000000003</v>
      </c>
      <c r="I90" s="6">
        <v>95.8</v>
      </c>
      <c r="J90" s="6">
        <v>181</v>
      </c>
      <c r="K90" s="6">
        <v>-1.0900000000000001</v>
      </c>
      <c r="L90" s="6">
        <v>83.5</v>
      </c>
      <c r="M90" s="7">
        <f t="shared" si="4"/>
        <v>4.8154296875</v>
      </c>
      <c r="N90" s="2"/>
    </row>
    <row r="91" spans="1:14" ht="13.8" x14ac:dyDescent="0.25">
      <c r="A91" s="8" t="s">
        <v>36</v>
      </c>
      <c r="B91" s="8" t="s">
        <v>26</v>
      </c>
      <c r="C91" s="5">
        <v>45694</v>
      </c>
      <c r="D91" s="6">
        <v>20.94</v>
      </c>
      <c r="E91" s="6">
        <v>57.88</v>
      </c>
      <c r="F91" s="6">
        <v>12.05</v>
      </c>
      <c r="G91" s="6">
        <v>10.88</v>
      </c>
      <c r="H91" s="6">
        <v>4.66</v>
      </c>
      <c r="I91" s="6">
        <v>106.4</v>
      </c>
      <c r="J91" s="6">
        <v>191</v>
      </c>
      <c r="K91" s="6">
        <v>-1.73</v>
      </c>
      <c r="L91" s="6">
        <v>63</v>
      </c>
      <c r="M91" s="7">
        <f t="shared" si="4"/>
        <v>5.3198529411764701</v>
      </c>
      <c r="N91" s="2"/>
    </row>
    <row r="92" spans="1:14" ht="13.8" x14ac:dyDescent="0.25">
      <c r="A92" s="8" t="s">
        <v>37</v>
      </c>
      <c r="B92" s="8" t="s">
        <v>34</v>
      </c>
      <c r="C92" s="5">
        <v>45694</v>
      </c>
      <c r="D92" s="6">
        <v>13.05</v>
      </c>
      <c r="E92" s="6">
        <v>44.18</v>
      </c>
      <c r="F92" s="6">
        <v>9.4600000000000009</v>
      </c>
      <c r="G92" s="6">
        <v>8.26</v>
      </c>
      <c r="H92" s="6">
        <v>3.76</v>
      </c>
      <c r="I92" s="6">
        <v>78.7</v>
      </c>
      <c r="J92" s="6">
        <v>173.7</v>
      </c>
      <c r="K92" s="6">
        <v>-2.15</v>
      </c>
      <c r="L92" s="6">
        <v>42.5</v>
      </c>
      <c r="M92" s="7">
        <f t="shared" si="4"/>
        <v>5.3486682808716708</v>
      </c>
      <c r="N92" s="2"/>
    </row>
    <row r="93" spans="1:14" ht="13.8" x14ac:dyDescent="0.25">
      <c r="A93" s="8" t="s">
        <v>43</v>
      </c>
      <c r="B93" s="8" t="s">
        <v>29</v>
      </c>
      <c r="C93" s="5">
        <v>45694</v>
      </c>
      <c r="D93" s="6">
        <v>21.52</v>
      </c>
      <c r="E93" s="6">
        <v>53.08</v>
      </c>
      <c r="F93" s="6">
        <v>11.86</v>
      </c>
      <c r="G93" s="6">
        <v>12.18</v>
      </c>
      <c r="H93" s="6">
        <v>4.46</v>
      </c>
      <c r="I93" s="6">
        <v>103.1</v>
      </c>
      <c r="J93" s="6">
        <v>193.8</v>
      </c>
      <c r="K93" s="6">
        <v>-1.67</v>
      </c>
      <c r="L93" s="6">
        <v>66.5</v>
      </c>
      <c r="M93" s="7">
        <f t="shared" si="4"/>
        <v>4.3579638752052547</v>
      </c>
      <c r="N93" s="2"/>
    </row>
    <row r="94" spans="1:14" ht="13.8" x14ac:dyDescent="0.25">
      <c r="A94" s="8" t="s">
        <v>14</v>
      </c>
      <c r="B94" s="8" t="s">
        <v>15</v>
      </c>
      <c r="C94" s="5">
        <v>45699</v>
      </c>
      <c r="D94" s="6">
        <v>14.28</v>
      </c>
      <c r="E94" s="6">
        <v>44.2</v>
      </c>
      <c r="F94" s="6">
        <v>9.74</v>
      </c>
      <c r="G94" s="6">
        <v>8.7899999999999991</v>
      </c>
      <c r="H94" s="6">
        <v>3.89</v>
      </c>
      <c r="I94" s="6">
        <v>80.900000000000006</v>
      </c>
      <c r="J94" s="6">
        <v>182</v>
      </c>
      <c r="K94" s="6">
        <v>-2.23</v>
      </c>
      <c r="L94" s="6">
        <v>41.5</v>
      </c>
      <c r="M94" s="7">
        <v>5</v>
      </c>
      <c r="N94" s="2"/>
    </row>
    <row r="95" spans="1:14" ht="13.8" x14ac:dyDescent="0.25">
      <c r="A95" s="8" t="s">
        <v>27</v>
      </c>
      <c r="B95" s="8" t="s">
        <v>26</v>
      </c>
      <c r="C95" s="5">
        <v>45699</v>
      </c>
      <c r="D95" s="6">
        <v>19.55</v>
      </c>
      <c r="E95" s="6">
        <v>49.23</v>
      </c>
      <c r="F95" s="6">
        <v>10.07</v>
      </c>
      <c r="G95" s="6">
        <v>9.61</v>
      </c>
      <c r="H95" s="6">
        <v>4.24</v>
      </c>
      <c r="I95" s="6">
        <v>92.7</v>
      </c>
      <c r="J95" s="6">
        <v>185</v>
      </c>
      <c r="K95" s="6">
        <v>-1.63</v>
      </c>
      <c r="L95" s="6">
        <v>65</v>
      </c>
      <c r="M95" s="7">
        <f t="shared" ref="M95:M102" si="5">E95/G95</f>
        <v>5.1227887617065555</v>
      </c>
      <c r="N95" s="2"/>
    </row>
    <row r="96" spans="1:14" ht="13.8" x14ac:dyDescent="0.25">
      <c r="A96" s="8" t="s">
        <v>33</v>
      </c>
      <c r="B96" s="8" t="s">
        <v>34</v>
      </c>
      <c r="C96" s="5">
        <v>45699</v>
      </c>
      <c r="D96" s="6">
        <v>15.37</v>
      </c>
      <c r="E96" s="6">
        <v>40.49</v>
      </c>
      <c r="F96" s="6">
        <v>8.18</v>
      </c>
      <c r="G96" s="6">
        <v>8.4499999999999993</v>
      </c>
      <c r="H96" s="6">
        <v>4.01</v>
      </c>
      <c r="I96" s="6">
        <v>76.5</v>
      </c>
      <c r="J96" s="6">
        <v>182.6</v>
      </c>
      <c r="K96" s="6">
        <v>-2.21</v>
      </c>
      <c r="L96" s="6">
        <v>42.5</v>
      </c>
      <c r="M96" s="7">
        <f t="shared" si="5"/>
        <v>4.7917159763313615</v>
      </c>
      <c r="N96" s="2"/>
    </row>
    <row r="97" spans="1:14" ht="13.8" x14ac:dyDescent="0.25">
      <c r="A97" s="8" t="s">
        <v>74</v>
      </c>
      <c r="B97" s="8" t="s">
        <v>22</v>
      </c>
      <c r="C97" s="5">
        <v>45699</v>
      </c>
      <c r="D97" s="6">
        <v>21.73</v>
      </c>
      <c r="E97" s="6">
        <v>57.31</v>
      </c>
      <c r="F97" s="6">
        <v>11.7</v>
      </c>
      <c r="G97" s="6">
        <v>11.45</v>
      </c>
      <c r="H97" s="6">
        <v>4.3099999999999996</v>
      </c>
      <c r="I97" s="6">
        <v>106.5</v>
      </c>
      <c r="J97" s="6">
        <v>183.8</v>
      </c>
      <c r="K97" s="6">
        <v>-1.1399999999999999</v>
      </c>
      <c r="L97" s="6">
        <v>83</v>
      </c>
      <c r="M97" s="7">
        <f t="shared" si="5"/>
        <v>5.0052401746724895</v>
      </c>
      <c r="N97" s="2"/>
    </row>
    <row r="98" spans="1:14" ht="13.8" x14ac:dyDescent="0.25">
      <c r="A98" s="8" t="s">
        <v>35</v>
      </c>
      <c r="B98" s="8" t="s">
        <v>16</v>
      </c>
      <c r="C98" s="5">
        <v>45699</v>
      </c>
      <c r="D98" s="6">
        <v>13.13</v>
      </c>
      <c r="E98" s="6">
        <v>46.15</v>
      </c>
      <c r="F98" s="6">
        <v>9.75</v>
      </c>
      <c r="G98" s="6">
        <v>8.7200000000000006</v>
      </c>
      <c r="H98" s="6">
        <v>3.85</v>
      </c>
      <c r="I98" s="6">
        <v>81.599999999999994</v>
      </c>
      <c r="J98" s="6">
        <v>180</v>
      </c>
      <c r="K98" s="6">
        <v>-2.33</v>
      </c>
      <c r="L98" s="6">
        <v>37.5</v>
      </c>
      <c r="M98" s="7">
        <f t="shared" si="5"/>
        <v>5.2924311926605503</v>
      </c>
      <c r="N98" s="2"/>
    </row>
    <row r="99" spans="1:14" ht="13.8" x14ac:dyDescent="0.25">
      <c r="A99" s="8" t="s">
        <v>42</v>
      </c>
      <c r="B99" s="8" t="s">
        <v>15</v>
      </c>
      <c r="C99" s="5">
        <v>45699</v>
      </c>
      <c r="D99" s="6">
        <v>17.63</v>
      </c>
      <c r="E99" s="6">
        <v>43.54</v>
      </c>
      <c r="F99" s="6">
        <v>9.57</v>
      </c>
      <c r="G99" s="6">
        <v>9</v>
      </c>
      <c r="H99" s="6">
        <v>3.85</v>
      </c>
      <c r="I99" s="6">
        <v>83.6</v>
      </c>
      <c r="J99" s="6">
        <v>176.8</v>
      </c>
      <c r="K99" s="6">
        <v>-1.48</v>
      </c>
      <c r="L99" s="6">
        <v>67.5</v>
      </c>
      <c r="M99" s="7">
        <f t="shared" si="5"/>
        <v>4.8377777777777773</v>
      </c>
      <c r="N99" s="2"/>
    </row>
    <row r="100" spans="1:14" ht="13.8" x14ac:dyDescent="0.25">
      <c r="A100" s="8" t="s">
        <v>93</v>
      </c>
      <c r="B100" s="8" t="s">
        <v>20</v>
      </c>
      <c r="C100" s="5">
        <v>45699</v>
      </c>
      <c r="D100" s="6">
        <v>14.66</v>
      </c>
      <c r="E100" s="6">
        <v>41.84</v>
      </c>
      <c r="F100" s="6">
        <v>8.85</v>
      </c>
      <c r="G100" s="6">
        <v>8.8699999999999992</v>
      </c>
      <c r="H100" s="6">
        <v>3.78</v>
      </c>
      <c r="I100" s="6">
        <v>78</v>
      </c>
      <c r="J100" s="6">
        <v>178.5</v>
      </c>
      <c r="K100" s="6">
        <v>-2.04</v>
      </c>
      <c r="L100" s="6">
        <v>47.5</v>
      </c>
      <c r="M100" s="7">
        <f t="shared" si="5"/>
        <v>4.7170236753100347</v>
      </c>
      <c r="N100" s="2"/>
    </row>
    <row r="101" spans="1:14" ht="13.8" x14ac:dyDescent="0.25">
      <c r="A101" s="8" t="s">
        <v>75</v>
      </c>
      <c r="B101" s="8" t="s">
        <v>15</v>
      </c>
      <c r="C101" s="5">
        <v>45699</v>
      </c>
      <c r="D101" s="6">
        <v>13.82</v>
      </c>
      <c r="E101" s="6">
        <v>37.979999999999997</v>
      </c>
      <c r="F101" s="6">
        <v>7.58</v>
      </c>
      <c r="G101" s="6">
        <v>7.78</v>
      </c>
      <c r="H101" s="6">
        <v>3.64</v>
      </c>
      <c r="I101" s="6">
        <v>70.8</v>
      </c>
      <c r="J101" s="6">
        <v>172.8</v>
      </c>
      <c r="K101" s="6">
        <v>-2.02</v>
      </c>
      <c r="L101" s="6">
        <v>47</v>
      </c>
      <c r="M101" s="7">
        <f t="shared" si="5"/>
        <v>4.8817480719794339</v>
      </c>
      <c r="N101" s="2"/>
    </row>
    <row r="102" spans="1:14" ht="13.8" x14ac:dyDescent="0.25">
      <c r="A102" s="8" t="s">
        <v>95</v>
      </c>
      <c r="B102" s="8" t="s">
        <v>34</v>
      </c>
      <c r="C102" s="5">
        <v>45699</v>
      </c>
      <c r="D102" s="6">
        <v>16.059999999999999</v>
      </c>
      <c r="E102" s="6">
        <v>44.22</v>
      </c>
      <c r="F102" s="6">
        <v>9.76</v>
      </c>
      <c r="G102" s="6">
        <v>7.79</v>
      </c>
      <c r="H102" s="6">
        <v>3.97</v>
      </c>
      <c r="I102" s="6">
        <v>81.8</v>
      </c>
      <c r="J102" s="6">
        <v>172.3</v>
      </c>
      <c r="K102" s="6">
        <v>-1.69</v>
      </c>
      <c r="L102" s="6">
        <v>58.5</v>
      </c>
      <c r="M102" s="7">
        <f t="shared" si="5"/>
        <v>5.6765083440308084</v>
      </c>
      <c r="N102" s="2"/>
    </row>
    <row r="103" spans="1:14" ht="13.8" x14ac:dyDescent="0.25">
      <c r="A103" s="2" t="s">
        <v>55</v>
      </c>
      <c r="B103" s="2" t="s">
        <v>29</v>
      </c>
      <c r="C103" s="12">
        <v>45699</v>
      </c>
      <c r="D103" s="4">
        <v>30.86</v>
      </c>
      <c r="E103" s="4">
        <v>59.21</v>
      </c>
      <c r="F103" s="4">
        <v>13.83</v>
      </c>
      <c r="G103" s="4">
        <v>11.11</v>
      </c>
      <c r="H103" s="4">
        <v>4.59</v>
      </c>
      <c r="I103" s="4">
        <v>119.6</v>
      </c>
      <c r="J103" s="4">
        <v>194.3</v>
      </c>
      <c r="K103" s="4">
        <v>-0.37</v>
      </c>
      <c r="L103" s="4">
        <v>118</v>
      </c>
      <c r="M103" s="20">
        <v>5.33</v>
      </c>
      <c r="N103" s="2"/>
    </row>
    <row r="104" spans="1:14" ht="13.8" x14ac:dyDescent="0.25">
      <c r="A104" s="8" t="s">
        <v>70</v>
      </c>
      <c r="B104" s="8" t="s">
        <v>22</v>
      </c>
      <c r="C104" s="5">
        <v>45700</v>
      </c>
      <c r="D104" s="6">
        <v>30.59</v>
      </c>
      <c r="E104" s="6">
        <v>50.54</v>
      </c>
      <c r="F104" s="6">
        <v>11.94</v>
      </c>
      <c r="G104" s="6">
        <v>11.84</v>
      </c>
      <c r="H104" s="6">
        <v>4.3899999999999997</v>
      </c>
      <c r="I104" s="6">
        <v>109.3</v>
      </c>
      <c r="J104" s="6">
        <v>188.3</v>
      </c>
      <c r="K104" s="6">
        <v>-0.1</v>
      </c>
      <c r="L104" s="6">
        <v>125</v>
      </c>
      <c r="M104" s="7">
        <v>4.3</v>
      </c>
      <c r="N104" s="2"/>
    </row>
    <row r="105" spans="1:14" ht="13.8" x14ac:dyDescent="0.25">
      <c r="A105" s="8" t="s">
        <v>30</v>
      </c>
      <c r="B105" s="8" t="s">
        <v>15</v>
      </c>
      <c r="C105" s="5">
        <v>45714</v>
      </c>
      <c r="D105" s="6">
        <v>12.84</v>
      </c>
      <c r="E105" s="6">
        <v>42.41</v>
      </c>
      <c r="F105" s="6">
        <v>9.17</v>
      </c>
      <c r="G105" s="6">
        <v>8.1300000000000008</v>
      </c>
      <c r="H105" s="6">
        <v>3.96</v>
      </c>
      <c r="I105" s="6">
        <v>76.5</v>
      </c>
      <c r="J105" s="6">
        <v>182</v>
      </c>
      <c r="K105" s="6">
        <v>-2.5299999999999998</v>
      </c>
      <c r="L105" s="6">
        <v>30.5</v>
      </c>
      <c r="M105" s="7">
        <f t="shared" ref="M105:M136" si="6">E105/G105</f>
        <v>5.2164821648216471</v>
      </c>
      <c r="N105" s="2"/>
    </row>
    <row r="106" spans="1:14" ht="13.8" x14ac:dyDescent="0.25">
      <c r="A106" s="8" t="s">
        <v>24</v>
      </c>
      <c r="B106" s="8" t="s">
        <v>22</v>
      </c>
      <c r="C106" s="5">
        <v>45715</v>
      </c>
      <c r="D106" s="6">
        <v>28.6</v>
      </c>
      <c r="E106" s="6">
        <v>68.459999999999994</v>
      </c>
      <c r="F106" s="6">
        <v>17.36</v>
      </c>
      <c r="G106" s="6">
        <v>12.67</v>
      </c>
      <c r="H106" s="6">
        <v>4.91</v>
      </c>
      <c r="I106" s="6">
        <v>132</v>
      </c>
      <c r="J106" s="6">
        <v>180.2</v>
      </c>
      <c r="K106" s="6">
        <v>-0.09</v>
      </c>
      <c r="L106" s="6">
        <v>120</v>
      </c>
      <c r="M106" s="7">
        <f t="shared" si="6"/>
        <v>5.4033149171270711</v>
      </c>
      <c r="N106" s="2"/>
    </row>
    <row r="107" spans="1:14" ht="13.8" x14ac:dyDescent="0.25">
      <c r="A107" s="8" t="s">
        <v>31</v>
      </c>
      <c r="B107" s="8" t="s">
        <v>26</v>
      </c>
      <c r="C107" s="5">
        <v>45715</v>
      </c>
      <c r="D107" s="6">
        <v>18.98</v>
      </c>
      <c r="E107" s="6">
        <v>49.48</v>
      </c>
      <c r="F107" s="6">
        <v>9.84</v>
      </c>
      <c r="G107" s="6">
        <v>10.58</v>
      </c>
      <c r="H107" s="6">
        <v>4.21</v>
      </c>
      <c r="I107" s="6">
        <v>93.1</v>
      </c>
      <c r="J107" s="6">
        <v>186</v>
      </c>
      <c r="K107" s="6">
        <v>-1.72</v>
      </c>
      <c r="L107" s="6">
        <v>62</v>
      </c>
      <c r="M107" s="7">
        <f t="shared" si="6"/>
        <v>4.6767485822306236</v>
      </c>
      <c r="N107" s="2"/>
    </row>
    <row r="108" spans="1:14" ht="13.8" x14ac:dyDescent="0.25">
      <c r="A108" s="8" t="s">
        <v>50</v>
      </c>
      <c r="B108" s="8" t="s">
        <v>16</v>
      </c>
      <c r="C108" s="5">
        <v>45715</v>
      </c>
      <c r="D108" s="6">
        <v>22.8</v>
      </c>
      <c r="E108" s="6">
        <v>50.75</v>
      </c>
      <c r="F108" s="6">
        <v>10.199999999999999</v>
      </c>
      <c r="G108" s="6">
        <v>9.5399999999999991</v>
      </c>
      <c r="H108" s="6">
        <v>4.3099999999999996</v>
      </c>
      <c r="I108" s="6">
        <v>97.6</v>
      </c>
      <c r="J108" s="6">
        <v>183</v>
      </c>
      <c r="K108" s="6">
        <v>-1.07</v>
      </c>
      <c r="L108" s="6">
        <v>85</v>
      </c>
      <c r="M108" s="7">
        <f t="shared" si="6"/>
        <v>5.3197064989517822</v>
      </c>
      <c r="N108" s="2"/>
    </row>
    <row r="109" spans="1:14" ht="13.8" x14ac:dyDescent="0.25">
      <c r="A109" s="8" t="s">
        <v>25</v>
      </c>
      <c r="B109" s="8" t="s">
        <v>26</v>
      </c>
      <c r="C109" s="5">
        <v>45743</v>
      </c>
      <c r="D109" s="6">
        <v>23.8</v>
      </c>
      <c r="E109" s="6">
        <v>50.61</v>
      </c>
      <c r="F109" s="6">
        <v>11.16</v>
      </c>
      <c r="G109" s="6">
        <v>8.77</v>
      </c>
      <c r="H109" s="6">
        <v>4.16</v>
      </c>
      <c r="I109" s="6">
        <v>98.5</v>
      </c>
      <c r="J109" s="6">
        <v>191.8</v>
      </c>
      <c r="K109" s="6">
        <v>-1.1499999999999999</v>
      </c>
      <c r="L109" s="6">
        <v>86</v>
      </c>
      <c r="M109" s="7">
        <f t="shared" si="6"/>
        <v>5.7708095781071842</v>
      </c>
      <c r="N109" s="2"/>
    </row>
    <row r="110" spans="1:14" ht="13.8" x14ac:dyDescent="0.25">
      <c r="A110" s="8" t="s">
        <v>30</v>
      </c>
      <c r="B110" s="8" t="s">
        <v>15</v>
      </c>
      <c r="C110" s="5">
        <v>45743</v>
      </c>
      <c r="D110" s="6">
        <v>12.64</v>
      </c>
      <c r="E110" s="6">
        <v>42.81</v>
      </c>
      <c r="F110" s="6">
        <v>9.73</v>
      </c>
      <c r="G110" s="6">
        <v>8.1300000000000008</v>
      </c>
      <c r="H110" s="6">
        <v>4</v>
      </c>
      <c r="I110" s="6">
        <v>77.3</v>
      </c>
      <c r="J110" s="6">
        <v>182</v>
      </c>
      <c r="K110" s="6">
        <v>-2.57</v>
      </c>
      <c r="L110" s="6">
        <v>29</v>
      </c>
      <c r="M110" s="7">
        <f t="shared" si="6"/>
        <v>5.2656826568265682</v>
      </c>
      <c r="N110" s="2"/>
    </row>
    <row r="111" spans="1:14" ht="13.8" x14ac:dyDescent="0.25">
      <c r="A111" s="8" t="s">
        <v>31</v>
      </c>
      <c r="B111" s="8" t="s">
        <v>26</v>
      </c>
      <c r="C111" s="5">
        <v>45743</v>
      </c>
      <c r="D111" s="6">
        <v>19.739999999999998</v>
      </c>
      <c r="E111" s="6">
        <v>49.76</v>
      </c>
      <c r="F111" s="6">
        <v>9.6300000000000008</v>
      </c>
      <c r="G111" s="6">
        <v>10.58</v>
      </c>
      <c r="H111" s="6">
        <v>4.1900000000000004</v>
      </c>
      <c r="I111" s="6">
        <v>93.9</v>
      </c>
      <c r="J111" s="6">
        <v>186</v>
      </c>
      <c r="K111" s="6">
        <v>-1.58</v>
      </c>
      <c r="L111" s="6">
        <v>67</v>
      </c>
      <c r="M111" s="7">
        <f t="shared" si="6"/>
        <v>4.703213610586011</v>
      </c>
      <c r="N111" s="2"/>
    </row>
    <row r="112" spans="1:14" ht="13.8" x14ac:dyDescent="0.25">
      <c r="A112" s="8" t="s">
        <v>32</v>
      </c>
      <c r="B112" s="8" t="s">
        <v>26</v>
      </c>
      <c r="C112" s="5">
        <v>45743</v>
      </c>
      <c r="D112" s="6">
        <v>19.95</v>
      </c>
      <c r="E112" s="6">
        <v>51.96</v>
      </c>
      <c r="F112" s="6">
        <v>10.93</v>
      </c>
      <c r="G112" s="6">
        <v>10.24</v>
      </c>
      <c r="H112" s="6">
        <v>4.12</v>
      </c>
      <c r="I112" s="6">
        <v>97.2</v>
      </c>
      <c r="J112" s="6">
        <v>181</v>
      </c>
      <c r="K112" s="6">
        <v>-1.28</v>
      </c>
      <c r="L112" s="6">
        <v>76.5</v>
      </c>
      <c r="M112" s="7">
        <f t="shared" si="6"/>
        <v>5.07421875</v>
      </c>
      <c r="N112" s="2"/>
    </row>
    <row r="113" spans="1:14" ht="13.8" x14ac:dyDescent="0.25">
      <c r="A113" s="8" t="s">
        <v>21</v>
      </c>
      <c r="B113" s="8" t="s">
        <v>22</v>
      </c>
      <c r="C113" s="5">
        <v>45750</v>
      </c>
      <c r="D113" s="6">
        <v>24.79</v>
      </c>
      <c r="E113" s="6">
        <v>59.74</v>
      </c>
      <c r="F113" s="6">
        <v>14.64</v>
      </c>
      <c r="G113" s="6">
        <v>12.47</v>
      </c>
      <c r="H113" s="6">
        <v>4.5599999999999996</v>
      </c>
      <c r="I113" s="6">
        <v>116.2</v>
      </c>
      <c r="J113" s="6">
        <v>180</v>
      </c>
      <c r="K113" s="6">
        <v>-0.56999999999999995</v>
      </c>
      <c r="L113" s="6">
        <v>102</v>
      </c>
      <c r="M113" s="7">
        <f t="shared" si="6"/>
        <v>4.7906976744186043</v>
      </c>
      <c r="N113" s="2"/>
    </row>
    <row r="114" spans="1:14" ht="13.8" x14ac:dyDescent="0.25">
      <c r="A114" s="8" t="s">
        <v>74</v>
      </c>
      <c r="B114" s="8" t="s">
        <v>22</v>
      </c>
      <c r="C114" s="5">
        <v>45750</v>
      </c>
      <c r="D114" s="6">
        <v>22.27</v>
      </c>
      <c r="E114" s="6">
        <v>56.46</v>
      </c>
      <c r="F114" s="6">
        <v>11.96</v>
      </c>
      <c r="G114" s="6">
        <v>11.45</v>
      </c>
      <c r="H114" s="6">
        <v>4.3600000000000003</v>
      </c>
      <c r="I114" s="6">
        <v>106.5</v>
      </c>
      <c r="J114" s="6">
        <v>183.8</v>
      </c>
      <c r="K114" s="6">
        <v>-1.1000000000000001</v>
      </c>
      <c r="L114" s="6">
        <v>84.5</v>
      </c>
      <c r="M114" s="7">
        <f t="shared" si="6"/>
        <v>4.9310043668122274</v>
      </c>
      <c r="N114" s="2"/>
    </row>
    <row r="115" spans="1:14" ht="13.8" x14ac:dyDescent="0.25">
      <c r="A115" s="8" t="s">
        <v>37</v>
      </c>
      <c r="B115" s="8" t="s">
        <v>34</v>
      </c>
      <c r="C115" s="5">
        <v>45750</v>
      </c>
      <c r="D115" s="6">
        <v>12.38</v>
      </c>
      <c r="E115" s="6">
        <v>44.88</v>
      </c>
      <c r="F115" s="6">
        <v>9.59</v>
      </c>
      <c r="G115" s="6">
        <v>8.26</v>
      </c>
      <c r="H115" s="6">
        <v>3.79</v>
      </c>
      <c r="I115" s="6">
        <v>78.900000000000006</v>
      </c>
      <c r="J115" s="6">
        <v>173.7</v>
      </c>
      <c r="K115" s="6">
        <v>-2.2799999999999998</v>
      </c>
      <c r="L115" s="6">
        <v>38</v>
      </c>
      <c r="M115" s="7">
        <f t="shared" si="6"/>
        <v>5.4334140435835359</v>
      </c>
      <c r="N115" s="2"/>
    </row>
    <row r="116" spans="1:14" ht="13.8" x14ac:dyDescent="0.25">
      <c r="A116" s="8" t="s">
        <v>50</v>
      </c>
      <c r="B116" s="8" t="s">
        <v>16</v>
      </c>
      <c r="C116" s="5">
        <v>45750</v>
      </c>
      <c r="D116" s="6">
        <v>21.19</v>
      </c>
      <c r="E116" s="6">
        <v>52.01</v>
      </c>
      <c r="F116" s="6">
        <v>10.47</v>
      </c>
      <c r="G116" s="6">
        <v>9.5399999999999991</v>
      </c>
      <c r="H116" s="6">
        <v>4.38</v>
      </c>
      <c r="I116" s="6">
        <v>97.6</v>
      </c>
      <c r="J116" s="6">
        <v>183</v>
      </c>
      <c r="K116" s="6">
        <v>-1.35</v>
      </c>
      <c r="L116" s="6">
        <v>74.5</v>
      </c>
      <c r="M116" s="7">
        <f t="shared" si="6"/>
        <v>5.4517819706498951</v>
      </c>
      <c r="N116" s="2"/>
    </row>
    <row r="117" spans="1:14" ht="13.8" x14ac:dyDescent="0.25">
      <c r="A117" s="8" t="s">
        <v>95</v>
      </c>
      <c r="B117" s="8" t="s">
        <v>34</v>
      </c>
      <c r="C117" s="5">
        <v>45750</v>
      </c>
      <c r="D117" s="6">
        <v>17.309999999999999</v>
      </c>
      <c r="E117" s="6">
        <v>43.92</v>
      </c>
      <c r="F117" s="6">
        <v>10.19</v>
      </c>
      <c r="G117" s="6">
        <v>7.79</v>
      </c>
      <c r="H117" s="6">
        <v>3.99</v>
      </c>
      <c r="I117" s="6">
        <v>83.2</v>
      </c>
      <c r="J117" s="6">
        <v>172.3</v>
      </c>
      <c r="K117" s="6">
        <v>-1.47</v>
      </c>
      <c r="L117" s="6">
        <v>66</v>
      </c>
      <c r="M117" s="7">
        <f t="shared" si="6"/>
        <v>5.6379974326059052</v>
      </c>
      <c r="N117" s="2"/>
    </row>
    <row r="118" spans="1:14" ht="13.8" x14ac:dyDescent="0.25">
      <c r="A118" s="8" t="s">
        <v>70</v>
      </c>
      <c r="B118" s="8" t="s">
        <v>22</v>
      </c>
      <c r="C118" s="5">
        <v>45757</v>
      </c>
      <c r="D118" s="6">
        <v>30.15</v>
      </c>
      <c r="E118" s="6">
        <v>49.67</v>
      </c>
      <c r="F118" s="6">
        <v>11.74</v>
      </c>
      <c r="G118" s="6">
        <v>11.84</v>
      </c>
      <c r="H118" s="6">
        <v>4.4000000000000004</v>
      </c>
      <c r="I118" s="6">
        <v>107.8</v>
      </c>
      <c r="J118" s="6">
        <v>188.3</v>
      </c>
      <c r="K118" s="6">
        <v>-0.19</v>
      </c>
      <c r="L118" s="6">
        <v>121.5</v>
      </c>
      <c r="M118" s="7">
        <f t="shared" si="6"/>
        <v>4.1951013513513518</v>
      </c>
      <c r="N118" s="2"/>
    </row>
    <row r="119" spans="1:14" ht="13.8" x14ac:dyDescent="0.25">
      <c r="A119" s="8" t="s">
        <v>47</v>
      </c>
      <c r="B119" s="8" t="s">
        <v>26</v>
      </c>
      <c r="C119" s="5">
        <v>45757</v>
      </c>
      <c r="D119" s="6">
        <v>18.010000000000002</v>
      </c>
      <c r="E119" s="6">
        <v>47.43</v>
      </c>
      <c r="F119" s="6">
        <v>10.8</v>
      </c>
      <c r="G119" s="6">
        <v>9.23</v>
      </c>
      <c r="H119" s="6">
        <v>4.03</v>
      </c>
      <c r="I119" s="6">
        <v>89.5</v>
      </c>
      <c r="J119" s="6">
        <v>177.2</v>
      </c>
      <c r="K119" s="6">
        <v>-1.48</v>
      </c>
      <c r="L119" s="6">
        <v>67.5</v>
      </c>
      <c r="M119" s="7">
        <f t="shared" si="6"/>
        <v>5.1386782231852655</v>
      </c>
      <c r="N119" s="2"/>
    </row>
    <row r="120" spans="1:14" ht="13.8" x14ac:dyDescent="0.25">
      <c r="A120" s="8" t="s">
        <v>21</v>
      </c>
      <c r="B120" s="8" t="s">
        <v>22</v>
      </c>
      <c r="C120" s="5">
        <v>45797</v>
      </c>
      <c r="D120" s="6">
        <v>24.39</v>
      </c>
      <c r="E120" s="6">
        <v>60.74</v>
      </c>
      <c r="F120" s="6">
        <v>14.87</v>
      </c>
      <c r="G120" s="6">
        <v>12.47</v>
      </c>
      <c r="H120" s="6">
        <v>4.63</v>
      </c>
      <c r="I120" s="6">
        <v>117.1</v>
      </c>
      <c r="J120" s="6">
        <v>180</v>
      </c>
      <c r="K120" s="6">
        <v>-0.68</v>
      </c>
      <c r="L120" s="6">
        <v>98</v>
      </c>
      <c r="M120" s="7">
        <f t="shared" si="6"/>
        <v>4.8708901363271853</v>
      </c>
      <c r="N120" s="2"/>
    </row>
    <row r="121" spans="1:14" ht="13.8" x14ac:dyDescent="0.25">
      <c r="A121" s="8" t="s">
        <v>25</v>
      </c>
      <c r="B121" s="8" t="s">
        <v>26</v>
      </c>
      <c r="C121" s="5">
        <v>45797</v>
      </c>
      <c r="D121" s="6">
        <v>22.47</v>
      </c>
      <c r="E121" s="6">
        <v>51.4</v>
      </c>
      <c r="F121" s="6">
        <v>11.16</v>
      </c>
      <c r="G121" s="6">
        <v>8.77</v>
      </c>
      <c r="H121" s="6">
        <v>4.2</v>
      </c>
      <c r="I121" s="6">
        <v>98</v>
      </c>
      <c r="J121" s="6">
        <v>191.8</v>
      </c>
      <c r="K121" s="6">
        <v>-1.37</v>
      </c>
      <c r="L121" s="6">
        <v>77.5</v>
      </c>
      <c r="M121" s="7">
        <f t="shared" si="6"/>
        <v>5.8608893956670469</v>
      </c>
      <c r="N121" s="2"/>
    </row>
    <row r="122" spans="1:14" ht="13.8" x14ac:dyDescent="0.25">
      <c r="A122" s="8" t="s">
        <v>28</v>
      </c>
      <c r="B122" s="8" t="s">
        <v>29</v>
      </c>
      <c r="C122" s="5">
        <v>45797</v>
      </c>
      <c r="D122" s="6">
        <v>17.5</v>
      </c>
      <c r="E122" s="6">
        <v>49.41</v>
      </c>
      <c r="F122" s="6">
        <v>10.83</v>
      </c>
      <c r="G122" s="6">
        <v>10.31</v>
      </c>
      <c r="H122" s="6">
        <v>4.55</v>
      </c>
      <c r="I122" s="6">
        <v>92.6</v>
      </c>
      <c r="J122" s="6">
        <v>193</v>
      </c>
      <c r="K122" s="6">
        <v>-2.29</v>
      </c>
      <c r="L122" s="6">
        <v>41.5</v>
      </c>
      <c r="M122" s="7">
        <f t="shared" si="6"/>
        <v>4.7924345295829287</v>
      </c>
      <c r="N122" s="2"/>
    </row>
    <row r="123" spans="1:14" ht="13.8" x14ac:dyDescent="0.25">
      <c r="A123" s="8" t="s">
        <v>32</v>
      </c>
      <c r="B123" s="8" t="s">
        <v>26</v>
      </c>
      <c r="C123" s="5">
        <v>45797</v>
      </c>
      <c r="D123" s="6">
        <v>18.79</v>
      </c>
      <c r="E123" s="6">
        <v>49.96</v>
      </c>
      <c r="F123" s="6">
        <v>10.85</v>
      </c>
      <c r="G123" s="6">
        <v>10.08</v>
      </c>
      <c r="H123" s="6">
        <v>4.13</v>
      </c>
      <c r="I123" s="6">
        <v>93.8</v>
      </c>
      <c r="J123" s="6">
        <v>181</v>
      </c>
      <c r="K123" s="6">
        <v>-1.51</v>
      </c>
      <c r="L123" s="6">
        <v>68</v>
      </c>
      <c r="M123" s="7">
        <f t="shared" si="6"/>
        <v>4.9563492063492065</v>
      </c>
      <c r="N123" s="2"/>
    </row>
    <row r="124" spans="1:14" ht="15.75" customHeight="1" x14ac:dyDescent="0.25">
      <c r="A124" s="8" t="s">
        <v>43</v>
      </c>
      <c r="B124" s="8" t="s">
        <v>29</v>
      </c>
      <c r="C124" s="5">
        <v>45797</v>
      </c>
      <c r="D124" s="6">
        <v>19.57</v>
      </c>
      <c r="E124" s="6">
        <v>54.54</v>
      </c>
      <c r="F124" s="6">
        <v>11.78</v>
      </c>
      <c r="G124" s="6">
        <v>12.18</v>
      </c>
      <c r="H124" s="6">
        <v>4.53</v>
      </c>
      <c r="I124" s="6">
        <v>102.6</v>
      </c>
      <c r="J124" s="6">
        <v>193.8</v>
      </c>
      <c r="K124" s="6">
        <v>-1.96</v>
      </c>
      <c r="L124" s="6">
        <v>55</v>
      </c>
      <c r="M124" s="7">
        <f t="shared" si="6"/>
        <v>4.4778325123152714</v>
      </c>
      <c r="N124" s="2"/>
    </row>
    <row r="125" spans="1:14" ht="15.75" customHeight="1" x14ac:dyDescent="0.25">
      <c r="A125" s="8" t="s">
        <v>50</v>
      </c>
      <c r="B125" s="8" t="s">
        <v>16</v>
      </c>
      <c r="C125" s="5">
        <v>45797</v>
      </c>
      <c r="D125" s="6">
        <v>20.170000000000002</v>
      </c>
      <c r="E125" s="6">
        <v>51.91</v>
      </c>
      <c r="F125" s="6">
        <v>10.32</v>
      </c>
      <c r="G125" s="6">
        <v>9.5399999999999991</v>
      </c>
      <c r="H125" s="6">
        <v>4.3600000000000003</v>
      </c>
      <c r="I125" s="6">
        <v>96.3</v>
      </c>
      <c r="J125" s="6">
        <v>183</v>
      </c>
      <c r="K125" s="6">
        <v>-1.5</v>
      </c>
      <c r="L125" s="6">
        <v>69</v>
      </c>
      <c r="M125" s="7">
        <f t="shared" si="6"/>
        <v>5.4412997903563944</v>
      </c>
      <c r="N125" s="2"/>
    </row>
    <row r="126" spans="1:14" ht="15.75" customHeight="1" x14ac:dyDescent="0.25">
      <c r="A126" s="8" t="s">
        <v>95</v>
      </c>
      <c r="B126" s="8" t="s">
        <v>34</v>
      </c>
      <c r="C126" s="5">
        <v>45797</v>
      </c>
      <c r="D126" s="6">
        <v>16.03</v>
      </c>
      <c r="E126" s="6">
        <v>43.33</v>
      </c>
      <c r="F126" s="6">
        <v>9.92</v>
      </c>
      <c r="G126" s="6">
        <v>7.79</v>
      </c>
      <c r="H126" s="6">
        <v>3.92</v>
      </c>
      <c r="I126" s="6">
        <v>81</v>
      </c>
      <c r="J126" s="6">
        <v>172.3</v>
      </c>
      <c r="K126" s="6">
        <v>-1.67</v>
      </c>
      <c r="L126" s="6">
        <v>59</v>
      </c>
      <c r="M126" s="7">
        <f t="shared" si="6"/>
        <v>5.5622593068035941</v>
      </c>
      <c r="N126" s="2"/>
    </row>
    <row r="127" spans="1:14" ht="15.75" customHeight="1" x14ac:dyDescent="0.25">
      <c r="A127" s="8" t="s">
        <v>36</v>
      </c>
      <c r="B127" s="8" t="s">
        <v>26</v>
      </c>
      <c r="C127" s="5">
        <v>45799</v>
      </c>
      <c r="D127" s="6">
        <v>21.14</v>
      </c>
      <c r="E127" s="6">
        <v>57.97</v>
      </c>
      <c r="F127" s="6">
        <v>11.71</v>
      </c>
      <c r="G127" s="6">
        <v>10.88</v>
      </c>
      <c r="H127" s="6">
        <v>4.7</v>
      </c>
      <c r="I127" s="6">
        <v>106.4</v>
      </c>
      <c r="J127" s="6">
        <v>191</v>
      </c>
      <c r="K127" s="6">
        <v>-1.73</v>
      </c>
      <c r="L127" s="6">
        <v>63</v>
      </c>
      <c r="M127" s="7">
        <f t="shared" si="6"/>
        <v>5.3281249999999991</v>
      </c>
      <c r="N127" s="2"/>
    </row>
    <row r="128" spans="1:14" ht="15.75" customHeight="1" x14ac:dyDescent="0.25">
      <c r="A128" s="8" t="s">
        <v>44</v>
      </c>
      <c r="B128" s="8" t="s">
        <v>39</v>
      </c>
      <c r="C128" s="5">
        <v>45799</v>
      </c>
      <c r="D128" s="6">
        <v>14.5</v>
      </c>
      <c r="E128" s="6">
        <v>47.01</v>
      </c>
      <c r="F128" s="6">
        <v>9.5500000000000007</v>
      </c>
      <c r="G128" s="6">
        <v>9.41</v>
      </c>
      <c r="H128" s="6">
        <v>4.13</v>
      </c>
      <c r="I128" s="6">
        <v>84.6</v>
      </c>
      <c r="J128" s="6">
        <v>182.6</v>
      </c>
      <c r="K128" s="6">
        <v>-2.2999999999999998</v>
      </c>
      <c r="L128" s="6">
        <v>39</v>
      </c>
      <c r="M128" s="7">
        <f t="shared" si="6"/>
        <v>4.9957492029755572</v>
      </c>
      <c r="N128" s="2"/>
    </row>
    <row r="129" spans="1:14" ht="15.75" customHeight="1" x14ac:dyDescent="0.25">
      <c r="A129" s="8" t="s">
        <v>93</v>
      </c>
      <c r="B129" s="8" t="s">
        <v>20</v>
      </c>
      <c r="C129" s="5">
        <v>45799</v>
      </c>
      <c r="D129" s="6">
        <v>13.32</v>
      </c>
      <c r="E129" s="6">
        <v>42.06</v>
      </c>
      <c r="F129" s="6">
        <v>8.83</v>
      </c>
      <c r="G129" s="6">
        <v>8.8699999999999992</v>
      </c>
      <c r="H129" s="6">
        <v>3.82</v>
      </c>
      <c r="I129" s="6">
        <v>76.900000000000006</v>
      </c>
      <c r="J129" s="6">
        <v>178.5</v>
      </c>
      <c r="K129" s="6">
        <v>-2.29</v>
      </c>
      <c r="L129" s="6">
        <v>38.5</v>
      </c>
      <c r="M129" s="7">
        <f t="shared" si="6"/>
        <v>4.7418263810597523</v>
      </c>
      <c r="N129" s="2"/>
    </row>
    <row r="130" spans="1:14" ht="15.75" customHeight="1" x14ac:dyDescent="0.25">
      <c r="A130" s="8" t="s">
        <v>49</v>
      </c>
      <c r="B130" s="8" t="s">
        <v>26</v>
      </c>
      <c r="C130" s="5">
        <v>45799</v>
      </c>
      <c r="D130" s="6">
        <v>24.77</v>
      </c>
      <c r="E130" s="6">
        <v>50.9</v>
      </c>
      <c r="F130" s="6">
        <v>13.92</v>
      </c>
      <c r="G130" s="6">
        <v>10.62</v>
      </c>
      <c r="H130" s="6">
        <v>4.29</v>
      </c>
      <c r="I130" s="6">
        <v>104.5</v>
      </c>
      <c r="J130" s="6">
        <v>188</v>
      </c>
      <c r="K130" s="6">
        <v>-0.89</v>
      </c>
      <c r="L130" s="6">
        <v>94.5</v>
      </c>
      <c r="M130" s="7">
        <f t="shared" si="6"/>
        <v>4.792843691148776</v>
      </c>
      <c r="N130" s="2"/>
    </row>
    <row r="131" spans="1:14" ht="15.75" customHeight="1" x14ac:dyDescent="0.25">
      <c r="A131" s="8" t="s">
        <v>23</v>
      </c>
      <c r="B131" s="8" t="s">
        <v>15</v>
      </c>
      <c r="C131" s="5">
        <v>45813</v>
      </c>
      <c r="D131" s="6">
        <v>12.21</v>
      </c>
      <c r="E131" s="6">
        <v>41.63</v>
      </c>
      <c r="F131" s="6">
        <v>8.9</v>
      </c>
      <c r="G131" s="6">
        <v>7.9</v>
      </c>
      <c r="H131" s="6">
        <v>3.77</v>
      </c>
      <c r="I131" s="6">
        <v>74.400000000000006</v>
      </c>
      <c r="J131" s="6">
        <v>182.2</v>
      </c>
      <c r="K131" s="6">
        <v>-2.5499999999999998</v>
      </c>
      <c r="L131" s="6">
        <v>29.5</v>
      </c>
      <c r="M131" s="7">
        <f t="shared" si="6"/>
        <v>5.2696202531645566</v>
      </c>
      <c r="N131" s="2"/>
    </row>
    <row r="132" spans="1:14" ht="15.75" customHeight="1" x14ac:dyDescent="0.25">
      <c r="A132" s="8" t="s">
        <v>24</v>
      </c>
      <c r="B132" s="8" t="s">
        <v>22</v>
      </c>
      <c r="C132" s="5">
        <v>45813</v>
      </c>
      <c r="D132" s="6">
        <v>25.68</v>
      </c>
      <c r="E132" s="6">
        <v>67.78</v>
      </c>
      <c r="F132" s="6">
        <v>16.82</v>
      </c>
      <c r="G132" s="6">
        <v>12.67</v>
      </c>
      <c r="H132" s="6">
        <v>4.8499999999999996</v>
      </c>
      <c r="I132" s="6">
        <v>127.8</v>
      </c>
      <c r="J132" s="6">
        <v>180.2</v>
      </c>
      <c r="K132" s="6">
        <v>-0.54</v>
      </c>
      <c r="L132" s="6">
        <v>103.5</v>
      </c>
      <c r="M132" s="7">
        <f t="shared" si="6"/>
        <v>5.3496448303078141</v>
      </c>
      <c r="N132" s="2"/>
    </row>
    <row r="133" spans="1:14" ht="15.75" customHeight="1" x14ac:dyDescent="0.25">
      <c r="A133" s="8" t="s">
        <v>74</v>
      </c>
      <c r="B133" s="8" t="s">
        <v>22</v>
      </c>
      <c r="C133" s="5">
        <v>45813</v>
      </c>
      <c r="D133" s="6">
        <v>19.53</v>
      </c>
      <c r="E133" s="6">
        <v>55.67</v>
      </c>
      <c r="F133" s="6">
        <v>12.08</v>
      </c>
      <c r="G133" s="6">
        <v>11.45</v>
      </c>
      <c r="H133" s="6">
        <v>4.2699999999999996</v>
      </c>
      <c r="I133" s="6">
        <v>103</v>
      </c>
      <c r="J133" s="6">
        <v>183.8</v>
      </c>
      <c r="K133" s="6">
        <v>-1.48</v>
      </c>
      <c r="L133" s="6">
        <v>70</v>
      </c>
      <c r="M133" s="7">
        <f t="shared" si="6"/>
        <v>4.8620087336244548</v>
      </c>
      <c r="N133" s="2"/>
    </row>
    <row r="134" spans="1:14" ht="15.75" customHeight="1" x14ac:dyDescent="0.25">
      <c r="A134" s="8" t="s">
        <v>47</v>
      </c>
      <c r="B134" s="8" t="s">
        <v>26</v>
      </c>
      <c r="C134" s="5">
        <v>45813</v>
      </c>
      <c r="D134" s="6">
        <v>17.149999999999999</v>
      </c>
      <c r="E134" s="6">
        <v>49.47</v>
      </c>
      <c r="F134" s="6">
        <v>11.06</v>
      </c>
      <c r="G134" s="6">
        <v>9.23</v>
      </c>
      <c r="H134" s="6">
        <v>4.08</v>
      </c>
      <c r="I134" s="6">
        <v>91</v>
      </c>
      <c r="J134" s="6">
        <v>177.2</v>
      </c>
      <c r="K134" s="6">
        <v>-1.63</v>
      </c>
      <c r="L134" s="6">
        <v>62</v>
      </c>
      <c r="M134" s="7">
        <f t="shared" si="6"/>
        <v>5.3596966413867815</v>
      </c>
      <c r="N134" s="2"/>
    </row>
    <row r="135" spans="1:14" ht="15.75" customHeight="1" x14ac:dyDescent="0.25">
      <c r="A135" s="8" t="s">
        <v>75</v>
      </c>
      <c r="B135" s="8" t="s">
        <v>15</v>
      </c>
      <c r="C135" s="5">
        <v>45813</v>
      </c>
      <c r="D135" s="6">
        <v>11.82</v>
      </c>
      <c r="E135" s="6">
        <v>38.049999999999997</v>
      </c>
      <c r="F135" s="6">
        <v>8.02</v>
      </c>
      <c r="G135" s="6">
        <v>7.78</v>
      </c>
      <c r="H135" s="6">
        <v>3.73</v>
      </c>
      <c r="I135" s="6">
        <v>69.400000000000006</v>
      </c>
      <c r="J135" s="6">
        <v>172.8</v>
      </c>
      <c r="K135" s="6">
        <v>-2.4300000000000002</v>
      </c>
      <c r="L135" s="6">
        <v>32.5</v>
      </c>
      <c r="M135" s="7">
        <f t="shared" si="6"/>
        <v>4.8907455012853465</v>
      </c>
      <c r="N135" s="2"/>
    </row>
    <row r="136" spans="1:14" ht="15.75" customHeight="1" x14ac:dyDescent="0.25">
      <c r="A136" s="8" t="s">
        <v>31</v>
      </c>
      <c r="B136" s="8" t="s">
        <v>26</v>
      </c>
      <c r="C136" s="5">
        <v>45846</v>
      </c>
      <c r="D136" s="6">
        <v>19.440000000000001</v>
      </c>
      <c r="E136" s="6">
        <v>49.73</v>
      </c>
      <c r="F136" s="6">
        <v>9.98</v>
      </c>
      <c r="G136" s="6">
        <v>10.58</v>
      </c>
      <c r="H136" s="6">
        <v>4.16</v>
      </c>
      <c r="I136" s="6">
        <v>93.9</v>
      </c>
      <c r="J136" s="6">
        <v>186</v>
      </c>
      <c r="K136" s="6">
        <v>-1.61</v>
      </c>
      <c r="L136" s="6">
        <v>66</v>
      </c>
      <c r="M136" s="7">
        <f t="shared" si="6"/>
        <v>4.7003780718336481</v>
      </c>
      <c r="N136" s="2"/>
    </row>
    <row r="137" spans="1:14" ht="15.75" customHeight="1" x14ac:dyDescent="0.25">
      <c r="A137" s="8" t="s">
        <v>17</v>
      </c>
      <c r="B137" s="8" t="s">
        <v>18</v>
      </c>
      <c r="C137" s="5">
        <v>45848</v>
      </c>
      <c r="D137" s="6">
        <v>25.12</v>
      </c>
      <c r="E137" s="6">
        <v>57.47</v>
      </c>
      <c r="F137" s="6">
        <v>13.76</v>
      </c>
      <c r="G137" s="6">
        <v>11.61</v>
      </c>
      <c r="H137" s="6">
        <v>4.63</v>
      </c>
      <c r="I137" s="6">
        <v>112.6</v>
      </c>
      <c r="J137" s="6">
        <v>182.3</v>
      </c>
      <c r="K137" s="6">
        <v>-0.74</v>
      </c>
      <c r="L137" s="6">
        <v>97</v>
      </c>
      <c r="M137" s="7">
        <f t="shared" ref="M137:M163" si="7">E137/G137</f>
        <v>4.9500430663221362</v>
      </c>
      <c r="N137" s="2"/>
    </row>
    <row r="138" spans="1:14" ht="15.75" customHeight="1" x14ac:dyDescent="0.25">
      <c r="A138" s="8" t="s">
        <v>28</v>
      </c>
      <c r="B138" s="8" t="s">
        <v>29</v>
      </c>
      <c r="C138" s="5">
        <v>45848</v>
      </c>
      <c r="D138" s="6">
        <v>18</v>
      </c>
      <c r="E138" s="6">
        <v>50.18</v>
      </c>
      <c r="F138" s="6">
        <v>10.69</v>
      </c>
      <c r="G138" s="6">
        <v>10.31</v>
      </c>
      <c r="H138" s="6">
        <v>4.62</v>
      </c>
      <c r="I138" s="6">
        <v>93.8</v>
      </c>
      <c r="J138" s="6">
        <v>193</v>
      </c>
      <c r="K138" s="6">
        <v>-2.2599999999999998</v>
      </c>
      <c r="L138" s="6">
        <v>43</v>
      </c>
      <c r="M138" s="7">
        <f t="shared" si="7"/>
        <v>4.8671193016488843</v>
      </c>
      <c r="N138" s="2"/>
    </row>
    <row r="139" spans="1:14" ht="15.75" customHeight="1" x14ac:dyDescent="0.25">
      <c r="A139" s="8" t="s">
        <v>43</v>
      </c>
      <c r="B139" s="8" t="s">
        <v>29</v>
      </c>
      <c r="C139" s="5">
        <v>45848</v>
      </c>
      <c r="D139" s="6">
        <v>19.45</v>
      </c>
      <c r="E139" s="6">
        <v>54.29</v>
      </c>
      <c r="F139" s="6">
        <v>12.14</v>
      </c>
      <c r="G139" s="6">
        <v>12.3</v>
      </c>
      <c r="H139" s="6">
        <v>4.53</v>
      </c>
      <c r="I139" s="6">
        <v>102.7</v>
      </c>
      <c r="J139" s="6">
        <v>193.8</v>
      </c>
      <c r="K139" s="6">
        <v>-1.97</v>
      </c>
      <c r="L139" s="6">
        <v>54.5</v>
      </c>
      <c r="M139" s="7">
        <f t="shared" si="7"/>
        <v>4.4138211382113814</v>
      </c>
      <c r="N139" s="2"/>
    </row>
    <row r="140" spans="1:14" ht="15.75" customHeight="1" x14ac:dyDescent="0.25">
      <c r="A140" s="8" t="s">
        <v>44</v>
      </c>
      <c r="B140" s="8" t="s">
        <v>39</v>
      </c>
      <c r="C140" s="5">
        <v>45848</v>
      </c>
      <c r="D140" s="6">
        <v>13.92</v>
      </c>
      <c r="E140" s="6">
        <v>46.86</v>
      </c>
      <c r="F140" s="6">
        <v>9.74</v>
      </c>
      <c r="G140" s="6">
        <v>9.41</v>
      </c>
      <c r="H140" s="6">
        <v>4.17</v>
      </c>
      <c r="I140" s="6">
        <v>84.1</v>
      </c>
      <c r="J140" s="6">
        <v>182.6</v>
      </c>
      <c r="K140" s="6">
        <v>-2.41</v>
      </c>
      <c r="L140" s="6">
        <v>35</v>
      </c>
      <c r="M140" s="7">
        <f t="shared" si="7"/>
        <v>4.9798087141338998</v>
      </c>
      <c r="N140" s="2"/>
    </row>
    <row r="141" spans="1:14" ht="15.75" customHeight="1" x14ac:dyDescent="0.25">
      <c r="A141" s="2" t="s">
        <v>52</v>
      </c>
      <c r="B141" s="2" t="s">
        <v>18</v>
      </c>
      <c r="C141" s="12">
        <v>45848</v>
      </c>
      <c r="D141" s="4">
        <v>16.3</v>
      </c>
      <c r="E141" s="4">
        <v>62.3</v>
      </c>
      <c r="F141" s="4">
        <v>11.4</v>
      </c>
      <c r="G141" s="4">
        <v>11.49</v>
      </c>
      <c r="H141" s="4">
        <v>4.5999999999999996</v>
      </c>
      <c r="I141" s="4">
        <v>106.2</v>
      </c>
      <c r="J141" s="4">
        <v>189.5</v>
      </c>
      <c r="K141" s="4">
        <v>-2.2599999999999998</v>
      </c>
      <c r="L141" s="4">
        <v>42</v>
      </c>
      <c r="M141" s="7">
        <f t="shared" si="7"/>
        <v>5.4221061792863354</v>
      </c>
      <c r="N141" s="2"/>
    </row>
    <row r="142" spans="1:14" ht="15.75" customHeight="1" x14ac:dyDescent="0.25">
      <c r="A142" s="8" t="s">
        <v>24</v>
      </c>
      <c r="B142" s="8" t="s">
        <v>22</v>
      </c>
      <c r="C142" s="5">
        <v>45853</v>
      </c>
      <c r="D142" s="6">
        <v>23.6</v>
      </c>
      <c r="E142" s="6">
        <v>67.61</v>
      </c>
      <c r="F142" s="6">
        <v>17.27</v>
      </c>
      <c r="G142" s="6">
        <v>12.67</v>
      </c>
      <c r="H142" s="6">
        <v>4.8499999999999996</v>
      </c>
      <c r="I142" s="6">
        <v>126</v>
      </c>
      <c r="J142" s="6">
        <v>180.2</v>
      </c>
      <c r="K142" s="6">
        <v>-0.87</v>
      </c>
      <c r="L142" s="6">
        <v>91.3</v>
      </c>
      <c r="M142" s="7">
        <f t="shared" si="7"/>
        <v>5.3362273086029992</v>
      </c>
      <c r="N142" s="2"/>
    </row>
    <row r="143" spans="1:14" ht="15.75" customHeight="1" x14ac:dyDescent="0.25">
      <c r="A143" s="8" t="s">
        <v>93</v>
      </c>
      <c r="B143" s="8" t="s">
        <v>20</v>
      </c>
      <c r="C143" s="5">
        <v>45853</v>
      </c>
      <c r="D143" s="6">
        <v>13.23</v>
      </c>
      <c r="E143" s="6">
        <v>42.3</v>
      </c>
      <c r="F143" s="6">
        <v>9.3000000000000007</v>
      </c>
      <c r="G143" s="6">
        <v>8.8699999999999992</v>
      </c>
      <c r="H143" s="6">
        <v>3.8</v>
      </c>
      <c r="I143" s="6">
        <v>77.5</v>
      </c>
      <c r="J143" s="6">
        <v>178.5</v>
      </c>
      <c r="K143" s="6">
        <v>-2.29</v>
      </c>
      <c r="L143" s="6">
        <v>38.5</v>
      </c>
      <c r="M143" s="7">
        <f t="shared" si="7"/>
        <v>4.7688838782412626</v>
      </c>
      <c r="N143" s="2"/>
    </row>
    <row r="144" spans="1:14" ht="15.75" customHeight="1" x14ac:dyDescent="0.25">
      <c r="A144" s="8" t="s">
        <v>95</v>
      </c>
      <c r="B144" s="8" t="s">
        <v>34</v>
      </c>
      <c r="C144" s="5">
        <v>45853</v>
      </c>
      <c r="D144" s="6">
        <v>16.579999999999998</v>
      </c>
      <c r="E144" s="6">
        <v>43.87</v>
      </c>
      <c r="F144" s="6">
        <v>9.8800000000000008</v>
      </c>
      <c r="G144" s="6">
        <v>7.79</v>
      </c>
      <c r="H144" s="6">
        <v>3.88</v>
      </c>
      <c r="I144" s="6">
        <v>82</v>
      </c>
      <c r="J144" s="6">
        <v>172.3</v>
      </c>
      <c r="K144" s="6">
        <v>-1.53</v>
      </c>
      <c r="L144" s="6">
        <v>64</v>
      </c>
      <c r="M144" s="7">
        <f t="shared" si="7"/>
        <v>5.6315789473684204</v>
      </c>
      <c r="N144" s="2"/>
    </row>
    <row r="145" spans="1:14" ht="15.75" customHeight="1" x14ac:dyDescent="0.25">
      <c r="A145" s="8" t="s">
        <v>21</v>
      </c>
      <c r="B145" s="8" t="s">
        <v>22</v>
      </c>
      <c r="C145" s="5">
        <v>45855</v>
      </c>
      <c r="D145" s="6">
        <v>23.09</v>
      </c>
      <c r="E145" s="6">
        <v>61.08</v>
      </c>
      <c r="F145" s="6">
        <v>14.77</v>
      </c>
      <c r="G145" s="6">
        <v>12.47</v>
      </c>
      <c r="H145" s="6">
        <v>4.5999999999999996</v>
      </c>
      <c r="I145" s="6">
        <v>116</v>
      </c>
      <c r="J145" s="6">
        <v>180</v>
      </c>
      <c r="K145" s="6">
        <v>-0.87</v>
      </c>
      <c r="L145" s="6">
        <v>91</v>
      </c>
      <c r="M145" s="7">
        <f t="shared" si="7"/>
        <v>4.8981555733761022</v>
      </c>
      <c r="N145" s="2"/>
    </row>
    <row r="146" spans="1:14" ht="15.75" customHeight="1" x14ac:dyDescent="0.25">
      <c r="A146" s="8" t="s">
        <v>23</v>
      </c>
      <c r="B146" s="8" t="s">
        <v>15</v>
      </c>
      <c r="C146" s="5">
        <v>45855</v>
      </c>
      <c r="D146" s="6">
        <v>11.63</v>
      </c>
      <c r="E146" s="6">
        <v>42.62</v>
      </c>
      <c r="F146" s="6">
        <v>9.14</v>
      </c>
      <c r="G146" s="6">
        <v>7.9</v>
      </c>
      <c r="H146" s="6">
        <v>3.8</v>
      </c>
      <c r="I146" s="6">
        <v>75.099999999999994</v>
      </c>
      <c r="J146" s="6">
        <v>182.2</v>
      </c>
      <c r="K146" s="6">
        <v>-2.65</v>
      </c>
      <c r="L146" s="6">
        <v>26</v>
      </c>
      <c r="M146" s="7">
        <f t="shared" si="7"/>
        <v>5.3949367088607589</v>
      </c>
      <c r="N146" s="2"/>
    </row>
    <row r="147" spans="1:14" ht="15.75" customHeight="1" x14ac:dyDescent="0.25">
      <c r="A147" s="8" t="s">
        <v>49</v>
      </c>
      <c r="B147" s="8" t="s">
        <v>26</v>
      </c>
      <c r="C147" s="5">
        <v>45855</v>
      </c>
      <c r="D147" s="6">
        <v>20.63</v>
      </c>
      <c r="E147" s="6">
        <v>54.66</v>
      </c>
      <c r="F147" s="6">
        <v>14.97</v>
      </c>
      <c r="G147" s="6">
        <v>10.62</v>
      </c>
      <c r="H147" s="6">
        <v>4.43</v>
      </c>
      <c r="I147" s="6">
        <v>105.3</v>
      </c>
      <c r="J147" s="6">
        <v>188</v>
      </c>
      <c r="K147" s="6">
        <v>-1.55</v>
      </c>
      <c r="L147" s="6">
        <v>69</v>
      </c>
      <c r="M147" s="7">
        <f t="shared" si="7"/>
        <v>5.1468926553672318</v>
      </c>
      <c r="N147" s="2"/>
    </row>
    <row r="148" spans="1:14" ht="15.75" customHeight="1" x14ac:dyDescent="0.25">
      <c r="A148" s="8" t="s">
        <v>17</v>
      </c>
      <c r="B148" s="8" t="s">
        <v>18</v>
      </c>
      <c r="C148" s="5">
        <v>45883</v>
      </c>
      <c r="D148" s="6">
        <v>24.83</v>
      </c>
      <c r="E148" s="6">
        <v>55.68</v>
      </c>
      <c r="F148" s="6">
        <v>13.2</v>
      </c>
      <c r="G148" s="6">
        <v>11.61</v>
      </c>
      <c r="H148" s="6">
        <v>4.4800000000000004</v>
      </c>
      <c r="I148" s="6">
        <v>109.8</v>
      </c>
      <c r="J148" s="6">
        <v>182.3</v>
      </c>
      <c r="K148" s="6">
        <v>-0.7</v>
      </c>
      <c r="L148" s="6">
        <v>98.5</v>
      </c>
      <c r="M148" s="7">
        <f t="shared" si="7"/>
        <v>4.7958656330749356</v>
      </c>
      <c r="N148" s="2"/>
    </row>
    <row r="149" spans="1:14" ht="15.75" customHeight="1" x14ac:dyDescent="0.25">
      <c r="A149" s="8" t="s">
        <v>25</v>
      </c>
      <c r="B149" s="8" t="s">
        <v>26</v>
      </c>
      <c r="C149" s="5">
        <v>45883</v>
      </c>
      <c r="D149" s="6">
        <v>20.350000000000001</v>
      </c>
      <c r="E149" s="6">
        <v>49.6</v>
      </c>
      <c r="F149" s="6">
        <v>11.47</v>
      </c>
      <c r="G149" s="6">
        <v>8.77</v>
      </c>
      <c r="H149" s="6">
        <v>4.21</v>
      </c>
      <c r="I149" s="6">
        <v>94.4</v>
      </c>
      <c r="J149" s="6">
        <v>191.8</v>
      </c>
      <c r="K149" s="6">
        <v>-1.7</v>
      </c>
      <c r="L149" s="6">
        <v>64.5</v>
      </c>
      <c r="M149" s="7">
        <f t="shared" si="7"/>
        <v>5.6556442417331816</v>
      </c>
      <c r="N149" s="2"/>
    </row>
    <row r="150" spans="1:14" ht="15.75" customHeight="1" x14ac:dyDescent="0.25">
      <c r="A150" s="8" t="s">
        <v>28</v>
      </c>
      <c r="B150" s="8" t="s">
        <v>29</v>
      </c>
      <c r="C150" s="5">
        <v>45883</v>
      </c>
      <c r="D150" s="6">
        <v>18.04</v>
      </c>
      <c r="E150" s="6">
        <v>49.53</v>
      </c>
      <c r="F150" s="6">
        <v>10.66</v>
      </c>
      <c r="G150" s="6">
        <v>10.31</v>
      </c>
      <c r="H150" s="6">
        <v>4.5599999999999996</v>
      </c>
      <c r="I150" s="6">
        <v>93.1</v>
      </c>
      <c r="J150" s="6">
        <v>193</v>
      </c>
      <c r="K150" s="6">
        <v>-2.23</v>
      </c>
      <c r="L150" s="6">
        <v>44</v>
      </c>
      <c r="M150" s="7">
        <f t="shared" si="7"/>
        <v>4.8040737148399613</v>
      </c>
      <c r="N150" s="2"/>
    </row>
    <row r="151" spans="1:14" ht="15.75" customHeight="1" x14ac:dyDescent="0.25">
      <c r="A151" s="8" t="s">
        <v>48</v>
      </c>
      <c r="B151" s="8" t="s">
        <v>15</v>
      </c>
      <c r="C151" s="5">
        <v>45883</v>
      </c>
      <c r="D151" s="6">
        <v>12.44</v>
      </c>
      <c r="E151" s="6">
        <v>47.54</v>
      </c>
      <c r="F151" s="6">
        <v>10.58</v>
      </c>
      <c r="G151" s="6">
        <v>10.199999999999999</v>
      </c>
      <c r="H151" s="6">
        <v>4.05</v>
      </c>
      <c r="I151" s="6">
        <v>84.8</v>
      </c>
      <c r="J151" s="6">
        <v>179.6</v>
      </c>
      <c r="K151" s="6">
        <v>-2.4900000000000002</v>
      </c>
      <c r="L151" s="6">
        <v>31.5</v>
      </c>
      <c r="M151" s="7">
        <f t="shared" si="7"/>
        <v>4.6607843137254905</v>
      </c>
      <c r="N151" s="2"/>
    </row>
    <row r="152" spans="1:14" ht="15.75" customHeight="1" x14ac:dyDescent="0.25">
      <c r="A152" s="8" t="s">
        <v>93</v>
      </c>
      <c r="B152" s="8" t="s">
        <v>20</v>
      </c>
      <c r="C152" s="5">
        <v>45883</v>
      </c>
      <c r="D152" s="6">
        <v>12.5</v>
      </c>
      <c r="E152" s="6">
        <v>42.57</v>
      </c>
      <c r="F152" s="6">
        <v>9.18</v>
      </c>
      <c r="G152" s="6">
        <v>8.8699999999999992</v>
      </c>
      <c r="H152" s="6">
        <v>3.78</v>
      </c>
      <c r="I152" s="6">
        <v>76.900000000000006</v>
      </c>
      <c r="J152" s="6">
        <v>178.5</v>
      </c>
      <c r="K152" s="6">
        <v>-2.4</v>
      </c>
      <c r="L152" s="6">
        <v>34.5</v>
      </c>
      <c r="M152" s="7">
        <f t="shared" si="7"/>
        <v>4.7993235625704624</v>
      </c>
      <c r="N152" s="2"/>
    </row>
    <row r="153" spans="1:14" ht="15.75" customHeight="1" x14ac:dyDescent="0.25">
      <c r="A153" s="8" t="s">
        <v>95</v>
      </c>
      <c r="B153" s="8" t="s">
        <v>34</v>
      </c>
      <c r="C153" s="5">
        <v>45883</v>
      </c>
      <c r="D153" s="6">
        <v>15.46</v>
      </c>
      <c r="E153" s="6">
        <v>45.51</v>
      </c>
      <c r="F153" s="6">
        <v>10.06</v>
      </c>
      <c r="G153" s="6">
        <v>7.79</v>
      </c>
      <c r="H153" s="6">
        <v>3.99</v>
      </c>
      <c r="I153" s="6">
        <v>82.8</v>
      </c>
      <c r="J153" s="6">
        <v>172.3</v>
      </c>
      <c r="K153" s="6">
        <v>-1.78</v>
      </c>
      <c r="L153" s="6">
        <v>55</v>
      </c>
      <c r="M153" s="7">
        <f t="shared" si="7"/>
        <v>5.8421052631578947</v>
      </c>
      <c r="N153" s="2"/>
    </row>
    <row r="154" spans="1:14" ht="15.75" customHeight="1" x14ac:dyDescent="0.25">
      <c r="A154" s="8" t="s">
        <v>24</v>
      </c>
      <c r="B154" s="8" t="s">
        <v>22</v>
      </c>
      <c r="C154" s="5">
        <v>45897</v>
      </c>
      <c r="D154" s="6">
        <v>24.56</v>
      </c>
      <c r="E154" s="6">
        <v>67.239999999999995</v>
      </c>
      <c r="F154" s="6">
        <v>17.2</v>
      </c>
      <c r="G154" s="6">
        <v>12.67</v>
      </c>
      <c r="H154" s="6">
        <v>4.82</v>
      </c>
      <c r="I154" s="6">
        <v>126.5</v>
      </c>
      <c r="J154" s="6">
        <v>180.2</v>
      </c>
      <c r="K154" s="6">
        <v>-0.7</v>
      </c>
      <c r="L154" s="6">
        <v>97.5</v>
      </c>
      <c r="M154" s="7">
        <f t="shared" si="7"/>
        <v>5.3070244672454612</v>
      </c>
      <c r="N154" s="2"/>
    </row>
    <row r="155" spans="1:14" ht="15.75" customHeight="1" x14ac:dyDescent="0.25">
      <c r="A155" s="8" t="s">
        <v>31</v>
      </c>
      <c r="B155" s="8" t="s">
        <v>26</v>
      </c>
      <c r="C155" s="5">
        <v>45897</v>
      </c>
      <c r="D155" s="6">
        <v>20.58</v>
      </c>
      <c r="E155" s="6">
        <v>49.98</v>
      </c>
      <c r="F155" s="6">
        <v>9.89</v>
      </c>
      <c r="G155" s="6">
        <v>10.58</v>
      </c>
      <c r="H155" s="6">
        <v>4.17</v>
      </c>
      <c r="I155" s="6">
        <v>95.2</v>
      </c>
      <c r="J155" s="6">
        <v>186</v>
      </c>
      <c r="K155" s="6">
        <v>-1.44</v>
      </c>
      <c r="L155" s="6">
        <v>72.5</v>
      </c>
      <c r="M155" s="7">
        <f t="shared" si="7"/>
        <v>4.7240075614366726</v>
      </c>
      <c r="N155" s="2"/>
    </row>
    <row r="156" spans="1:14" ht="15.75" customHeight="1" x14ac:dyDescent="0.25">
      <c r="A156" s="8" t="s">
        <v>32</v>
      </c>
      <c r="B156" s="8" t="s">
        <v>26</v>
      </c>
      <c r="C156" s="5">
        <v>45897</v>
      </c>
      <c r="D156" s="6">
        <v>18.79</v>
      </c>
      <c r="E156" s="6">
        <v>49.96</v>
      </c>
      <c r="F156" s="6">
        <v>10.85</v>
      </c>
      <c r="G156" s="6">
        <v>10.08</v>
      </c>
      <c r="H156" s="6">
        <v>4.13</v>
      </c>
      <c r="I156" s="6">
        <v>93.8</v>
      </c>
      <c r="J156" s="6">
        <v>181</v>
      </c>
      <c r="K156" s="6">
        <v>-1.51</v>
      </c>
      <c r="L156" s="6">
        <v>68</v>
      </c>
      <c r="M156" s="7">
        <f t="shared" si="7"/>
        <v>4.9563492063492065</v>
      </c>
      <c r="N156" s="2"/>
    </row>
    <row r="157" spans="1:14" ht="15.75" customHeight="1" x14ac:dyDescent="0.25">
      <c r="A157" s="8" t="s">
        <v>43</v>
      </c>
      <c r="B157" s="8" t="s">
        <v>29</v>
      </c>
      <c r="C157" s="5">
        <v>45897</v>
      </c>
      <c r="D157" s="6">
        <v>19.420000000000002</v>
      </c>
      <c r="E157" s="6">
        <v>55.9</v>
      </c>
      <c r="F157" s="6">
        <v>12.44</v>
      </c>
      <c r="G157" s="6">
        <v>12.3</v>
      </c>
      <c r="H157" s="6">
        <v>4.63</v>
      </c>
      <c r="I157" s="6">
        <v>104.7</v>
      </c>
      <c r="J157" s="6">
        <v>193.8</v>
      </c>
      <c r="K157" s="6">
        <v>-2.0099999999999998</v>
      </c>
      <c r="L157" s="6">
        <v>53</v>
      </c>
      <c r="M157" s="7">
        <f t="shared" si="7"/>
        <v>4.5447154471544708</v>
      </c>
      <c r="N157" s="2"/>
    </row>
    <row r="158" spans="1:14" ht="15.75" customHeight="1" x14ac:dyDescent="0.25">
      <c r="A158" s="8" t="s">
        <v>50</v>
      </c>
      <c r="B158" s="8" t="s">
        <v>16</v>
      </c>
      <c r="C158" s="5">
        <v>45897</v>
      </c>
      <c r="D158" s="6">
        <v>20.11</v>
      </c>
      <c r="E158" s="6">
        <v>51.32</v>
      </c>
      <c r="F158" s="6">
        <v>10.83</v>
      </c>
      <c r="G158" s="6">
        <v>9.5399999999999991</v>
      </c>
      <c r="H158" s="6">
        <v>4.3</v>
      </c>
      <c r="I158" s="6">
        <v>96.1</v>
      </c>
      <c r="J158" s="6">
        <v>183</v>
      </c>
      <c r="K158" s="6">
        <v>-1.47</v>
      </c>
      <c r="L158" s="6">
        <v>70</v>
      </c>
      <c r="M158" s="7">
        <f t="shared" si="7"/>
        <v>5.3794549266247387</v>
      </c>
      <c r="N158" s="2"/>
    </row>
    <row r="159" spans="1:14" ht="15.75" customHeight="1" x14ac:dyDescent="0.25">
      <c r="A159" s="2" t="s">
        <v>52</v>
      </c>
      <c r="B159" s="2" t="s">
        <v>18</v>
      </c>
      <c r="C159" s="12">
        <v>45897</v>
      </c>
      <c r="D159" s="4">
        <v>16</v>
      </c>
      <c r="E159" s="4">
        <v>62.8</v>
      </c>
      <c r="F159" s="4">
        <v>11.7</v>
      </c>
      <c r="G159" s="4">
        <v>11.49</v>
      </c>
      <c r="H159" s="4">
        <v>4.5999999999999996</v>
      </c>
      <c r="I159" s="4">
        <v>106.8</v>
      </c>
      <c r="J159" s="4">
        <v>189.5</v>
      </c>
      <c r="K159" s="4">
        <v>-2.2999999999999998</v>
      </c>
      <c r="L159" s="4">
        <v>40.5</v>
      </c>
      <c r="M159" s="7">
        <f t="shared" si="7"/>
        <v>5.4656222802436902</v>
      </c>
      <c r="N159" s="2"/>
    </row>
    <row r="160" spans="1:14" ht="15.75" customHeight="1" x14ac:dyDescent="0.25">
      <c r="A160" s="8" t="s">
        <v>17</v>
      </c>
      <c r="B160" s="8" t="s">
        <v>18</v>
      </c>
      <c r="C160" s="5">
        <v>45909</v>
      </c>
      <c r="D160" s="6">
        <v>24.16</v>
      </c>
      <c r="E160" s="6">
        <v>56.19</v>
      </c>
      <c r="F160" s="6">
        <v>13.09</v>
      </c>
      <c r="G160" s="6">
        <v>11.61</v>
      </c>
      <c r="H160" s="6">
        <v>4.45</v>
      </c>
      <c r="I160" s="6">
        <v>109.5</v>
      </c>
      <c r="J160" s="6">
        <v>182.3</v>
      </c>
      <c r="K160" s="6">
        <v>-0.78</v>
      </c>
      <c r="L160" s="6">
        <v>95.5</v>
      </c>
      <c r="M160" s="7">
        <f t="shared" si="7"/>
        <v>4.8397932816537468</v>
      </c>
      <c r="N160" s="2"/>
    </row>
    <row r="161" spans="1:14" ht="15.75" customHeight="1" x14ac:dyDescent="0.25">
      <c r="A161" s="8" t="s">
        <v>41</v>
      </c>
      <c r="B161" s="8" t="s">
        <v>22</v>
      </c>
      <c r="C161" s="5">
        <v>45909</v>
      </c>
      <c r="D161" s="6">
        <v>31.22</v>
      </c>
      <c r="E161" s="6">
        <v>64.27</v>
      </c>
      <c r="F161" s="6">
        <v>19.78</v>
      </c>
      <c r="G161" s="6">
        <v>13.41</v>
      </c>
      <c r="H161" s="6">
        <v>4.7300000000000004</v>
      </c>
      <c r="I161" s="6">
        <v>133.4</v>
      </c>
      <c r="J161" s="6">
        <v>179.1</v>
      </c>
      <c r="K161" s="6">
        <v>0.56999999999999995</v>
      </c>
      <c r="L161" s="6">
        <v>143.5</v>
      </c>
      <c r="M161" s="7">
        <f t="shared" si="7"/>
        <v>4.7926920208799402</v>
      </c>
      <c r="N161" s="2"/>
    </row>
    <row r="162" spans="1:14" ht="15.75" customHeight="1" x14ac:dyDescent="0.3">
      <c r="A162" s="13" t="s">
        <v>42</v>
      </c>
      <c r="B162" s="13" t="s">
        <v>15</v>
      </c>
      <c r="C162" s="15">
        <v>45926</v>
      </c>
      <c r="D162" s="2">
        <v>18.600000000000001</v>
      </c>
      <c r="E162" s="2">
        <v>43.1</v>
      </c>
      <c r="F162" s="2">
        <v>10</v>
      </c>
      <c r="G162" s="2">
        <v>9</v>
      </c>
      <c r="H162" s="2">
        <v>3.8</v>
      </c>
      <c r="I162" s="2">
        <v>84.6</v>
      </c>
      <c r="J162" s="2">
        <v>176.8</v>
      </c>
      <c r="K162" s="2">
        <v>-1.3</v>
      </c>
      <c r="L162" s="2">
        <v>74</v>
      </c>
      <c r="M162" s="14">
        <f t="shared" si="7"/>
        <v>4.7888888888888888</v>
      </c>
      <c r="N162" s="13"/>
    </row>
    <row r="163" spans="1:14" ht="15.75" customHeight="1" x14ac:dyDescent="0.25">
      <c r="A163" s="8" t="s">
        <v>21</v>
      </c>
      <c r="B163" s="8" t="s">
        <v>22</v>
      </c>
      <c r="C163" s="5">
        <v>45932</v>
      </c>
      <c r="D163" s="6">
        <v>23.9</v>
      </c>
      <c r="E163" s="6">
        <v>60.35</v>
      </c>
      <c r="F163" s="6">
        <v>14.3</v>
      </c>
      <c r="G163" s="6">
        <v>12.47</v>
      </c>
      <c r="H163" s="6">
        <v>4.5</v>
      </c>
      <c r="I163" s="6">
        <v>115.6</v>
      </c>
      <c r="J163" s="6">
        <v>180</v>
      </c>
      <c r="K163" s="6">
        <v>-0.7</v>
      </c>
      <c r="L163" s="6">
        <v>97.5</v>
      </c>
      <c r="M163" s="7">
        <f t="shared" si="7"/>
        <v>4.8396150761828389</v>
      </c>
      <c r="N163" s="2"/>
    </row>
    <row r="164" spans="1:14" ht="15.75" customHeight="1" x14ac:dyDescent="0.25">
      <c r="A164" s="8" t="s">
        <v>27</v>
      </c>
      <c r="B164" s="8" t="s">
        <v>26</v>
      </c>
      <c r="C164" s="5">
        <v>45932</v>
      </c>
      <c r="D164" s="6">
        <v>20.29</v>
      </c>
      <c r="E164" s="6">
        <v>49.72</v>
      </c>
      <c r="F164" s="6">
        <v>10.29</v>
      </c>
      <c r="G164" s="6">
        <v>9.61</v>
      </c>
      <c r="H164" s="6">
        <v>4.24</v>
      </c>
      <c r="I164" s="6">
        <v>93.69</v>
      </c>
      <c r="J164" s="6">
        <v>185</v>
      </c>
      <c r="K164" s="6">
        <v>-1.51</v>
      </c>
      <c r="L164" s="6">
        <v>69.5</v>
      </c>
      <c r="M164" s="7">
        <v>5.0999999999999996</v>
      </c>
      <c r="N164" s="2"/>
    </row>
    <row r="165" spans="1:14" ht="15.75" customHeight="1" x14ac:dyDescent="0.25">
      <c r="A165" s="8" t="s">
        <v>28</v>
      </c>
      <c r="B165" s="8" t="s">
        <v>29</v>
      </c>
      <c r="C165" s="5">
        <v>45932</v>
      </c>
      <c r="D165" s="6">
        <v>17.899999999999999</v>
      </c>
      <c r="E165" s="6">
        <v>49.7</v>
      </c>
      <c r="F165" s="6">
        <v>10.72</v>
      </c>
      <c r="G165" s="6">
        <v>10.31</v>
      </c>
      <c r="H165" s="6">
        <v>4.59</v>
      </c>
      <c r="I165" s="6">
        <v>93.3</v>
      </c>
      <c r="J165" s="6">
        <v>193</v>
      </c>
      <c r="K165" s="6">
        <v>-2.2599999999999998</v>
      </c>
      <c r="L165" s="6">
        <v>43</v>
      </c>
      <c r="M165" s="7">
        <f>E165/G165</f>
        <v>4.8205625606207567</v>
      </c>
      <c r="N165" s="2"/>
    </row>
    <row r="166" spans="1:14" ht="15.75" customHeight="1" x14ac:dyDescent="0.25">
      <c r="A166" s="8" t="s">
        <v>32</v>
      </c>
      <c r="B166" s="8" t="s">
        <v>26</v>
      </c>
      <c r="C166" s="5">
        <v>45932</v>
      </c>
      <c r="D166" s="6">
        <v>17.399999999999999</v>
      </c>
      <c r="E166" s="6">
        <v>50.77</v>
      </c>
      <c r="F166" s="6">
        <v>11.17</v>
      </c>
      <c r="G166" s="6">
        <v>10.08</v>
      </c>
      <c r="H166" s="6">
        <v>4.1399999999999997</v>
      </c>
      <c r="I166" s="6">
        <v>93.6</v>
      </c>
      <c r="J166" s="6">
        <v>181</v>
      </c>
      <c r="K166" s="6">
        <v>-1.72</v>
      </c>
      <c r="L166" s="6">
        <v>60</v>
      </c>
      <c r="M166" s="7">
        <f>E166/G166</f>
        <v>5.0367063492063497</v>
      </c>
      <c r="N166" s="2"/>
    </row>
    <row r="167" spans="1:14" ht="15.75" customHeight="1" x14ac:dyDescent="0.25">
      <c r="A167" s="8" t="s">
        <v>43</v>
      </c>
      <c r="B167" s="8" t="s">
        <v>29</v>
      </c>
      <c r="C167" s="5">
        <v>45932</v>
      </c>
      <c r="D167" s="6">
        <v>19.5</v>
      </c>
      <c r="E167" s="6">
        <v>55.5</v>
      </c>
      <c r="F167" s="6">
        <v>12.4</v>
      </c>
      <c r="G167" s="6">
        <v>12.3</v>
      </c>
      <c r="H167" s="6">
        <v>4.53</v>
      </c>
      <c r="I167" s="6">
        <v>104.2</v>
      </c>
      <c r="J167" s="6">
        <v>193.8</v>
      </c>
      <c r="K167" s="6">
        <v>-1.96</v>
      </c>
      <c r="L167" s="6">
        <v>55</v>
      </c>
      <c r="M167" s="7">
        <f>E167/G167</f>
        <v>4.5121951219512191</v>
      </c>
      <c r="N167" s="2"/>
    </row>
    <row r="168" spans="1:14" ht="15.75" customHeight="1" x14ac:dyDescent="0.25">
      <c r="A168" s="8" t="s">
        <v>44</v>
      </c>
      <c r="B168" s="8" t="s">
        <v>39</v>
      </c>
      <c r="C168" s="5">
        <v>45932</v>
      </c>
      <c r="D168" s="6">
        <v>13.5</v>
      </c>
      <c r="E168" s="6">
        <v>46.9</v>
      </c>
      <c r="F168" s="6">
        <v>9.8000000000000007</v>
      </c>
      <c r="G168" s="6">
        <v>9.41</v>
      </c>
      <c r="H168" s="6">
        <v>4.1900000000000004</v>
      </c>
      <c r="I168" s="6">
        <v>84</v>
      </c>
      <c r="J168" s="6">
        <v>182.6</v>
      </c>
      <c r="K168" s="6">
        <v>-2.48</v>
      </c>
      <c r="L168" s="6">
        <v>32.5</v>
      </c>
      <c r="M168" s="7">
        <f>E168/G168</f>
        <v>4.9840595111583417</v>
      </c>
      <c r="N168" s="2"/>
    </row>
    <row r="169" spans="1:14" ht="15.75" customHeight="1" x14ac:dyDescent="0.25">
      <c r="A169" s="8" t="s">
        <v>46</v>
      </c>
      <c r="B169" s="8" t="s">
        <v>18</v>
      </c>
      <c r="C169" s="5">
        <v>45937</v>
      </c>
      <c r="D169" s="6">
        <v>19.8</v>
      </c>
      <c r="E169" s="6">
        <v>54.6</v>
      </c>
      <c r="F169" s="6">
        <v>11.7</v>
      </c>
      <c r="G169" s="6">
        <v>11</v>
      </c>
      <c r="H169" s="6">
        <v>4.3</v>
      </c>
      <c r="I169" s="6">
        <v>101.4</v>
      </c>
      <c r="J169" s="6">
        <v>177</v>
      </c>
      <c r="K169" s="6">
        <v>-1.19</v>
      </c>
      <c r="L169" s="6">
        <v>78</v>
      </c>
      <c r="M169" s="7">
        <f>E169/G169</f>
        <v>4.9636363636363638</v>
      </c>
      <c r="N169" s="2"/>
    </row>
    <row r="170" spans="1:14" ht="15.75" customHeight="1" x14ac:dyDescent="0.25">
      <c r="A170" s="8" t="s">
        <v>14</v>
      </c>
      <c r="B170" s="8" t="s">
        <v>15</v>
      </c>
      <c r="C170" s="5">
        <v>45939</v>
      </c>
      <c r="D170" s="6">
        <v>14.28</v>
      </c>
      <c r="E170" s="6">
        <v>44.2</v>
      </c>
      <c r="F170" s="6">
        <v>9.74</v>
      </c>
      <c r="G170" s="6">
        <v>8.7899999999999991</v>
      </c>
      <c r="H170" s="6">
        <v>3.89</v>
      </c>
      <c r="I170" s="6">
        <v>80.900000000000006</v>
      </c>
      <c r="J170" s="6">
        <v>182</v>
      </c>
      <c r="K170" s="6">
        <v>-2.23</v>
      </c>
      <c r="L170" s="6">
        <v>41.5</v>
      </c>
      <c r="M170" s="7">
        <v>5</v>
      </c>
      <c r="N170" s="2"/>
    </row>
    <row r="171" spans="1:14" ht="15.75" customHeight="1" x14ac:dyDescent="0.25">
      <c r="A171" s="8" t="s">
        <v>23</v>
      </c>
      <c r="B171" s="8" t="s">
        <v>15</v>
      </c>
      <c r="C171" s="5">
        <v>45939</v>
      </c>
      <c r="D171" s="6">
        <v>12</v>
      </c>
      <c r="E171" s="6">
        <v>43.14</v>
      </c>
      <c r="F171" s="6">
        <v>9.4499999999999993</v>
      </c>
      <c r="G171" s="6">
        <v>7.9</v>
      </c>
      <c r="H171" s="6">
        <v>3.8</v>
      </c>
      <c r="I171" s="6">
        <v>76.400000000000006</v>
      </c>
      <c r="J171" s="6">
        <v>182.2</v>
      </c>
      <c r="K171" s="6">
        <v>-2.61</v>
      </c>
      <c r="L171" s="6">
        <v>27.5</v>
      </c>
      <c r="M171" s="7">
        <f t="shared" ref="M171:M181" si="8">E171/G171</f>
        <v>5.4607594936708859</v>
      </c>
      <c r="N171" s="2"/>
    </row>
    <row r="172" spans="1:14" ht="15.75" customHeight="1" x14ac:dyDescent="0.25">
      <c r="A172" s="8" t="s">
        <v>24</v>
      </c>
      <c r="B172" s="8" t="s">
        <v>22</v>
      </c>
      <c r="C172" s="5">
        <v>45939</v>
      </c>
      <c r="D172" s="6">
        <v>25</v>
      </c>
      <c r="E172" s="6">
        <v>68.599999999999994</v>
      </c>
      <c r="F172" s="6">
        <v>16.8</v>
      </c>
      <c r="G172" s="6">
        <v>12.67</v>
      </c>
      <c r="H172" s="6">
        <v>4.8</v>
      </c>
      <c r="I172" s="6">
        <v>128.1</v>
      </c>
      <c r="J172" s="6">
        <v>180.2</v>
      </c>
      <c r="K172" s="6">
        <v>-0.59</v>
      </c>
      <c r="L172" s="6">
        <v>101.5</v>
      </c>
      <c r="M172" s="7">
        <f t="shared" si="8"/>
        <v>5.4143646408839778</v>
      </c>
      <c r="N172" s="2"/>
    </row>
    <row r="173" spans="1:14" ht="15.75" customHeight="1" x14ac:dyDescent="0.25">
      <c r="A173" s="8" t="s">
        <v>31</v>
      </c>
      <c r="B173" s="8" t="s">
        <v>26</v>
      </c>
      <c r="C173" s="5">
        <v>45939</v>
      </c>
      <c r="D173" s="6">
        <v>20</v>
      </c>
      <c r="E173" s="6">
        <v>50.4</v>
      </c>
      <c r="F173" s="6">
        <v>9.8800000000000008</v>
      </c>
      <c r="G173" s="6">
        <v>10.58</v>
      </c>
      <c r="H173" s="6">
        <v>4.21</v>
      </c>
      <c r="I173" s="6">
        <v>95.1</v>
      </c>
      <c r="J173" s="6">
        <v>186</v>
      </c>
      <c r="K173" s="6">
        <v>-1.55</v>
      </c>
      <c r="L173" s="6">
        <v>68.3</v>
      </c>
      <c r="M173" s="7">
        <f t="shared" si="8"/>
        <v>4.7637051039697544</v>
      </c>
      <c r="N173" s="2"/>
    </row>
    <row r="174" spans="1:14" ht="15.75" customHeight="1" x14ac:dyDescent="0.25">
      <c r="A174" s="8" t="s">
        <v>74</v>
      </c>
      <c r="B174" s="8" t="s">
        <v>22</v>
      </c>
      <c r="C174" s="5">
        <v>45939</v>
      </c>
      <c r="D174" s="6">
        <v>21.37</v>
      </c>
      <c r="E174" s="6">
        <v>55.65</v>
      </c>
      <c r="F174" s="6">
        <v>12.06</v>
      </c>
      <c r="G174" s="6">
        <v>11.45</v>
      </c>
      <c r="H174" s="6">
        <v>4.28</v>
      </c>
      <c r="I174" s="6">
        <v>104.8</v>
      </c>
      <c r="J174" s="6">
        <v>183.8</v>
      </c>
      <c r="K174" s="6">
        <v>-1.19</v>
      </c>
      <c r="L174" s="6">
        <v>81</v>
      </c>
      <c r="M174" s="7">
        <f t="shared" si="8"/>
        <v>4.860262008733625</v>
      </c>
      <c r="N174" s="2"/>
    </row>
    <row r="175" spans="1:14" ht="15.75" customHeight="1" x14ac:dyDescent="0.25">
      <c r="A175" s="8" t="s">
        <v>36</v>
      </c>
      <c r="B175" s="8" t="s">
        <v>26</v>
      </c>
      <c r="C175" s="5">
        <v>45939</v>
      </c>
      <c r="D175" s="6">
        <v>22.23</v>
      </c>
      <c r="E175" s="6">
        <v>58.69</v>
      </c>
      <c r="F175" s="6">
        <v>12.31</v>
      </c>
      <c r="G175" s="6">
        <v>10.88</v>
      </c>
      <c r="H175" s="6">
        <v>4.7</v>
      </c>
      <c r="I175" s="6">
        <v>108.8</v>
      </c>
      <c r="J175" s="6">
        <v>191</v>
      </c>
      <c r="K175" s="6">
        <v>-1.57</v>
      </c>
      <c r="L175" s="6">
        <v>69.5</v>
      </c>
      <c r="M175" s="7">
        <f t="shared" si="8"/>
        <v>5.3943014705882346</v>
      </c>
      <c r="N175" s="2"/>
    </row>
    <row r="176" spans="1:14" ht="15.75" customHeight="1" x14ac:dyDescent="0.25">
      <c r="A176" s="8" t="s">
        <v>37</v>
      </c>
      <c r="B176" s="8" t="s">
        <v>34</v>
      </c>
      <c r="C176" s="5">
        <v>45939</v>
      </c>
      <c r="D176" s="6">
        <v>12.3</v>
      </c>
      <c r="E176" s="6">
        <v>44.8</v>
      </c>
      <c r="F176" s="6">
        <v>9.59</v>
      </c>
      <c r="G176" s="6">
        <v>8.26</v>
      </c>
      <c r="H176" s="6">
        <v>3.78</v>
      </c>
      <c r="I176" s="6">
        <v>78.900000000000006</v>
      </c>
      <c r="J176" s="6">
        <v>173.7</v>
      </c>
      <c r="K176" s="6">
        <v>-2.14</v>
      </c>
      <c r="L176" s="6">
        <v>43</v>
      </c>
      <c r="M176" s="7">
        <f t="shared" si="8"/>
        <v>5.4237288135593218</v>
      </c>
      <c r="N176" s="2"/>
    </row>
    <row r="177" spans="1:14" ht="15.75" customHeight="1" x14ac:dyDescent="0.25">
      <c r="A177" s="8" t="s">
        <v>41</v>
      </c>
      <c r="B177" s="8" t="s">
        <v>22</v>
      </c>
      <c r="C177" s="5">
        <v>45939</v>
      </c>
      <c r="D177" s="6">
        <v>29.3</v>
      </c>
      <c r="E177" s="6">
        <v>64.72</v>
      </c>
      <c r="F177" s="6">
        <v>19.940000000000001</v>
      </c>
      <c r="G177" s="6">
        <v>13.41</v>
      </c>
      <c r="H177" s="6">
        <v>4.83</v>
      </c>
      <c r="I177" s="6">
        <v>132.19999999999999</v>
      </c>
      <c r="J177" s="6">
        <v>179.1</v>
      </c>
      <c r="K177" s="6">
        <v>0.15</v>
      </c>
      <c r="L177" s="6">
        <v>128</v>
      </c>
      <c r="M177" s="7">
        <f t="shared" si="8"/>
        <v>4.8262490678598056</v>
      </c>
      <c r="N177" s="2"/>
    </row>
    <row r="178" spans="1:14" ht="15.75" customHeight="1" x14ac:dyDescent="0.25">
      <c r="A178" s="8" t="s">
        <v>60</v>
      </c>
      <c r="B178" s="8" t="s">
        <v>29</v>
      </c>
      <c r="C178" s="5">
        <v>45939</v>
      </c>
      <c r="D178" s="6">
        <v>15.8</v>
      </c>
      <c r="E178" s="6">
        <v>55.8</v>
      </c>
      <c r="F178" s="6">
        <v>11.79</v>
      </c>
      <c r="G178" s="6">
        <v>10.039999999999999</v>
      </c>
      <c r="H178" s="6">
        <v>4.32</v>
      </c>
      <c r="I178" s="6">
        <v>97.8</v>
      </c>
      <c r="J178" s="6">
        <v>185</v>
      </c>
      <c r="K178" s="6">
        <v>-2.14</v>
      </c>
      <c r="L178" s="6">
        <v>45.5</v>
      </c>
      <c r="M178" s="7">
        <f t="shared" si="8"/>
        <v>5.5577689243027892</v>
      </c>
      <c r="N178" s="2"/>
    </row>
    <row r="179" spans="1:14" ht="15.75" customHeight="1" x14ac:dyDescent="0.25">
      <c r="A179" s="8" t="s">
        <v>95</v>
      </c>
      <c r="B179" s="8" t="s">
        <v>34</v>
      </c>
      <c r="C179" s="5">
        <v>45939</v>
      </c>
      <c r="D179" s="6">
        <v>16.54</v>
      </c>
      <c r="E179" s="6">
        <v>43.4</v>
      </c>
      <c r="F179" s="6">
        <v>10.28</v>
      </c>
      <c r="G179" s="6">
        <v>7.79</v>
      </c>
      <c r="H179" s="6">
        <v>3.9</v>
      </c>
      <c r="I179" s="6">
        <v>81.900000000000006</v>
      </c>
      <c r="J179" s="6">
        <v>172.3</v>
      </c>
      <c r="K179" s="6">
        <v>-1.56</v>
      </c>
      <c r="L179" s="6">
        <v>63</v>
      </c>
      <c r="M179" s="7">
        <f t="shared" si="8"/>
        <v>5.5712451861360721</v>
      </c>
      <c r="N179" s="2"/>
    </row>
    <row r="180" spans="1:14" ht="15.75" customHeight="1" x14ac:dyDescent="0.25">
      <c r="A180" s="2" t="s">
        <v>52</v>
      </c>
      <c r="B180" s="2" t="s">
        <v>18</v>
      </c>
      <c r="C180" s="12">
        <v>45939</v>
      </c>
      <c r="D180" s="4">
        <v>16.399999999999999</v>
      </c>
      <c r="E180" s="4">
        <v>62.7</v>
      </c>
      <c r="F180" s="4">
        <v>12</v>
      </c>
      <c r="G180" s="4">
        <v>11.49</v>
      </c>
      <c r="H180" s="4">
        <v>4.5999999999999996</v>
      </c>
      <c r="I180" s="4">
        <v>107.4</v>
      </c>
      <c r="J180" s="4">
        <v>189.5</v>
      </c>
      <c r="K180" s="4">
        <v>-2.2400000000000002</v>
      </c>
      <c r="L180" s="4">
        <v>43</v>
      </c>
      <c r="M180" s="7">
        <f t="shared" si="8"/>
        <v>5.4569190600522193</v>
      </c>
      <c r="N180" s="2"/>
    </row>
    <row r="181" spans="1:14" ht="15.75" customHeight="1" x14ac:dyDescent="0.3">
      <c r="A181" s="13" t="s">
        <v>42</v>
      </c>
      <c r="B181" s="13" t="s">
        <v>15</v>
      </c>
      <c r="C181" s="15">
        <v>45968</v>
      </c>
      <c r="D181" s="2">
        <v>18.899999999999999</v>
      </c>
      <c r="E181" s="2">
        <v>42.6</v>
      </c>
      <c r="F181" s="2">
        <v>9.8000000000000007</v>
      </c>
      <c r="G181" s="2">
        <v>9</v>
      </c>
      <c r="H181" s="2">
        <v>3.8</v>
      </c>
      <c r="I181" s="2">
        <v>84.2</v>
      </c>
      <c r="J181" s="2">
        <v>176.8</v>
      </c>
      <c r="K181" s="2">
        <v>-1.23</v>
      </c>
      <c r="L181" s="2">
        <v>76.5</v>
      </c>
      <c r="M181" s="14">
        <f t="shared" si="8"/>
        <v>4.7333333333333334</v>
      </c>
      <c r="N181" s="13"/>
    </row>
    <row r="182" spans="1:14" ht="15.75" customHeight="1" x14ac:dyDescent="0.3">
      <c r="A182" s="13" t="s">
        <v>95</v>
      </c>
      <c r="B182" s="1" t="s">
        <v>34</v>
      </c>
      <c r="C182" s="16">
        <v>45968</v>
      </c>
      <c r="D182" s="1">
        <v>14.75</v>
      </c>
      <c r="E182" s="1">
        <v>42.62</v>
      </c>
      <c r="F182" s="1">
        <v>9.43</v>
      </c>
      <c r="G182" s="1">
        <v>7.79</v>
      </c>
      <c r="H182" s="1">
        <v>3.91</v>
      </c>
      <c r="I182" s="1">
        <v>78.5</v>
      </c>
      <c r="J182" s="1">
        <v>172.3</v>
      </c>
      <c r="K182" s="1">
        <v>-1.91</v>
      </c>
      <c r="L182" s="1">
        <v>50.5</v>
      </c>
      <c r="M182" s="17">
        <v>5.47</v>
      </c>
    </row>
    <row r="183" spans="1:14" ht="15.75" customHeight="1" x14ac:dyDescent="0.25">
      <c r="A183" s="8" t="s">
        <v>25</v>
      </c>
      <c r="B183" s="8" t="s">
        <v>26</v>
      </c>
      <c r="C183" s="5">
        <v>45995</v>
      </c>
      <c r="D183" s="6">
        <v>20.100000000000001</v>
      </c>
      <c r="E183" s="6">
        <v>48.6</v>
      </c>
      <c r="F183" s="6">
        <v>10.7</v>
      </c>
      <c r="G183" s="6">
        <v>8.77</v>
      </c>
      <c r="H183" s="6">
        <v>4.16</v>
      </c>
      <c r="I183" s="6">
        <v>92.5</v>
      </c>
      <c r="J183" s="6">
        <v>191.8</v>
      </c>
      <c r="K183" s="6">
        <v>-1.71</v>
      </c>
      <c r="L183" s="6">
        <v>64</v>
      </c>
      <c r="M183" s="7">
        <f t="shared" ref="M183:M189" si="9">E183/G183</f>
        <v>5.5416191562143675</v>
      </c>
      <c r="N183" s="2"/>
    </row>
    <row r="184" spans="1:14" ht="15.75" customHeight="1" x14ac:dyDescent="0.25">
      <c r="A184" s="8" t="s">
        <v>32</v>
      </c>
      <c r="B184" s="8" t="s">
        <v>26</v>
      </c>
      <c r="C184" s="5">
        <v>45995</v>
      </c>
      <c r="D184" s="6">
        <v>18.809999999999999</v>
      </c>
      <c r="E184" s="6">
        <v>50.41</v>
      </c>
      <c r="F184" s="6">
        <v>10.91</v>
      </c>
      <c r="G184" s="6">
        <v>10.08</v>
      </c>
      <c r="H184" s="6">
        <v>4.16</v>
      </c>
      <c r="I184" s="6">
        <v>94.4</v>
      </c>
      <c r="J184" s="6">
        <v>181</v>
      </c>
      <c r="K184" s="6">
        <v>-1.52</v>
      </c>
      <c r="L184" s="6">
        <v>67.5</v>
      </c>
      <c r="M184" s="7">
        <f t="shared" si="9"/>
        <v>5.0009920634920633</v>
      </c>
      <c r="N184" s="2"/>
    </row>
    <row r="185" spans="1:14" ht="15.75" customHeight="1" x14ac:dyDescent="0.25">
      <c r="A185" s="8" t="s">
        <v>37</v>
      </c>
      <c r="B185" s="8" t="s">
        <v>34</v>
      </c>
      <c r="C185" s="5">
        <v>45995</v>
      </c>
      <c r="D185" s="6">
        <v>13.7</v>
      </c>
      <c r="E185" s="6">
        <v>43.58</v>
      </c>
      <c r="F185" s="6">
        <v>9.65</v>
      </c>
      <c r="G185" s="6">
        <v>8.26</v>
      </c>
      <c r="H185" s="6">
        <v>3.81</v>
      </c>
      <c r="I185" s="6">
        <v>79</v>
      </c>
      <c r="J185" s="6">
        <v>173.7</v>
      </c>
      <c r="K185" s="6">
        <v>-2.06</v>
      </c>
      <c r="L185" s="6">
        <v>45.5</v>
      </c>
      <c r="M185" s="7">
        <f t="shared" si="9"/>
        <v>5.2760290556900724</v>
      </c>
      <c r="N185" s="2"/>
    </row>
    <row r="186" spans="1:14" ht="15.75" customHeight="1" x14ac:dyDescent="0.25">
      <c r="A186" s="8" t="s">
        <v>38</v>
      </c>
      <c r="B186" s="8" t="s">
        <v>39</v>
      </c>
      <c r="C186" s="5">
        <v>45995</v>
      </c>
      <c r="D186" s="6">
        <v>16.899999999999999</v>
      </c>
      <c r="E186" s="6">
        <v>48.1</v>
      </c>
      <c r="F186" s="6">
        <v>10.8</v>
      </c>
      <c r="G186" s="6">
        <v>10.4</v>
      </c>
      <c r="H186" s="6">
        <v>4.2</v>
      </c>
      <c r="I186" s="6">
        <v>90.7</v>
      </c>
      <c r="J186" s="6">
        <v>184.2</v>
      </c>
      <c r="K186" s="6">
        <v>-1.99</v>
      </c>
      <c r="L186" s="6">
        <v>51</v>
      </c>
      <c r="M186" s="7">
        <f t="shared" si="9"/>
        <v>4.625</v>
      </c>
      <c r="N186" s="2"/>
    </row>
    <row r="187" spans="1:14" ht="15.75" customHeight="1" x14ac:dyDescent="0.25">
      <c r="A187" s="8" t="s">
        <v>43</v>
      </c>
      <c r="B187" s="8" t="s">
        <v>29</v>
      </c>
      <c r="C187" s="5">
        <v>45995</v>
      </c>
      <c r="D187" s="6">
        <v>20.6</v>
      </c>
      <c r="E187" s="6">
        <v>55.3</v>
      </c>
      <c r="F187" s="6">
        <v>12</v>
      </c>
      <c r="G187" s="6">
        <v>12.3</v>
      </c>
      <c r="H187" s="6">
        <v>4.5599999999999996</v>
      </c>
      <c r="I187" s="6">
        <v>104.8</v>
      </c>
      <c r="J187" s="6">
        <v>193.8</v>
      </c>
      <c r="K187" s="6">
        <v>-1.83</v>
      </c>
      <c r="L187" s="6">
        <v>60</v>
      </c>
      <c r="M187" s="7">
        <f t="shared" si="9"/>
        <v>4.4959349593495928</v>
      </c>
      <c r="N187" s="2"/>
    </row>
    <row r="188" spans="1:14" ht="15.75" customHeight="1" x14ac:dyDescent="0.25">
      <c r="A188" s="8" t="s">
        <v>46</v>
      </c>
      <c r="B188" s="8" t="s">
        <v>18</v>
      </c>
      <c r="C188" s="5">
        <v>45995</v>
      </c>
      <c r="D188" s="6">
        <v>20.2</v>
      </c>
      <c r="E188" s="6">
        <v>56.5</v>
      </c>
      <c r="F188" s="6">
        <v>11.7</v>
      </c>
      <c r="G188" s="6">
        <v>11</v>
      </c>
      <c r="H188" s="6">
        <v>4.3</v>
      </c>
      <c r="I188" s="6">
        <v>103.9</v>
      </c>
      <c r="J188" s="6">
        <v>177</v>
      </c>
      <c r="K188" s="6">
        <v>-1.1599999999999999</v>
      </c>
      <c r="L188" s="6">
        <v>79</v>
      </c>
      <c r="M188" s="7">
        <f t="shared" si="9"/>
        <v>5.1363636363636367</v>
      </c>
      <c r="N188" s="2"/>
    </row>
    <row r="189" spans="1:14" ht="15.75" customHeight="1" x14ac:dyDescent="0.25">
      <c r="A189" s="8" t="s">
        <v>47</v>
      </c>
      <c r="B189" s="8" t="s">
        <v>26</v>
      </c>
      <c r="C189" s="5">
        <v>45995</v>
      </c>
      <c r="D189" s="6">
        <v>18.100000000000001</v>
      </c>
      <c r="E189" s="6">
        <v>47.4</v>
      </c>
      <c r="F189" s="6">
        <v>10.9</v>
      </c>
      <c r="G189" s="6">
        <v>9.23</v>
      </c>
      <c r="H189" s="6">
        <v>4</v>
      </c>
      <c r="I189" s="6">
        <v>89.7</v>
      </c>
      <c r="J189" s="6">
        <v>177.2</v>
      </c>
      <c r="K189" s="6">
        <v>-1.44</v>
      </c>
      <c r="L189" s="6">
        <v>69</v>
      </c>
      <c r="M189" s="7">
        <f t="shared" si="9"/>
        <v>5.1354279523293602</v>
      </c>
      <c r="N189" s="2"/>
    </row>
    <row r="190" spans="1:14" ht="15.75" customHeight="1" x14ac:dyDescent="0.25">
      <c r="A190" s="8" t="s">
        <v>75</v>
      </c>
      <c r="B190" s="8" t="s">
        <v>15</v>
      </c>
      <c r="C190" s="5">
        <v>45995</v>
      </c>
      <c r="D190" s="6">
        <v>12.37</v>
      </c>
      <c r="E190" s="6">
        <v>39.25</v>
      </c>
      <c r="F190" s="6">
        <v>8.16</v>
      </c>
      <c r="G190" s="6">
        <v>7.78</v>
      </c>
      <c r="H190" s="6">
        <v>3.74</v>
      </c>
      <c r="I190" s="6">
        <v>71.3</v>
      </c>
      <c r="J190" s="6">
        <v>172.8</v>
      </c>
      <c r="K190" s="6">
        <v>-2.31</v>
      </c>
      <c r="L190" s="6">
        <v>36.5</v>
      </c>
      <c r="M190" s="7">
        <v>5</v>
      </c>
      <c r="N190" s="2"/>
    </row>
    <row r="191" spans="1:14" ht="15.75" customHeight="1" x14ac:dyDescent="0.25">
      <c r="A191" s="8" t="s">
        <v>95</v>
      </c>
      <c r="B191" s="8" t="s">
        <v>34</v>
      </c>
      <c r="C191" s="5">
        <v>45995</v>
      </c>
      <c r="D191" s="6">
        <v>17.54</v>
      </c>
      <c r="E191" s="6">
        <v>41.91</v>
      </c>
      <c r="F191" s="6">
        <v>9.59</v>
      </c>
      <c r="G191" s="6">
        <v>7.79</v>
      </c>
      <c r="H191" s="6">
        <v>3.89</v>
      </c>
      <c r="I191" s="6">
        <v>80.7</v>
      </c>
      <c r="J191" s="6">
        <v>172.3</v>
      </c>
      <c r="K191" s="6">
        <v>-1.39</v>
      </c>
      <c r="L191" s="6">
        <v>69</v>
      </c>
      <c r="M191" s="7">
        <f t="shared" ref="M191:M198" si="10">E191/G191</f>
        <v>5.3799743260590498</v>
      </c>
      <c r="N191" s="2"/>
    </row>
    <row r="192" spans="1:14" ht="15.75" customHeight="1" x14ac:dyDescent="0.25">
      <c r="A192" s="2" t="s">
        <v>52</v>
      </c>
      <c r="B192" s="2" t="s">
        <v>18</v>
      </c>
      <c r="C192" s="12">
        <v>45995</v>
      </c>
      <c r="D192" s="4">
        <v>17.600000000000001</v>
      </c>
      <c r="E192" s="4">
        <v>63.3</v>
      </c>
      <c r="F192" s="4">
        <v>12</v>
      </c>
      <c r="G192" s="4">
        <v>11.49</v>
      </c>
      <c r="H192" s="4">
        <v>4.5</v>
      </c>
      <c r="I192" s="4">
        <v>109</v>
      </c>
      <c r="J192" s="4">
        <v>189.5</v>
      </c>
      <c r="K192" s="4">
        <v>-2.06</v>
      </c>
      <c r="L192" s="4">
        <v>50</v>
      </c>
      <c r="M192" s="7">
        <f t="shared" si="10"/>
        <v>5.5091383812010442</v>
      </c>
      <c r="N192" s="2"/>
    </row>
    <row r="193" spans="1:14" ht="15.75" customHeight="1" x14ac:dyDescent="0.25">
      <c r="A193" s="10" t="s">
        <v>63</v>
      </c>
      <c r="B193" s="10" t="s">
        <v>16</v>
      </c>
      <c r="C193" s="5">
        <v>45995</v>
      </c>
      <c r="D193" s="6">
        <v>19.8</v>
      </c>
      <c r="E193" s="6">
        <v>46.2</v>
      </c>
      <c r="F193" s="6">
        <v>8.9</v>
      </c>
      <c r="G193" s="6">
        <v>9</v>
      </c>
      <c r="H193" s="6">
        <v>4.0999999999999996</v>
      </c>
      <c r="I193" s="6">
        <v>88.1</v>
      </c>
      <c r="J193" s="6">
        <v>181.5</v>
      </c>
      <c r="K193" s="6">
        <v>-1.45</v>
      </c>
      <c r="L193" s="6">
        <v>70.5</v>
      </c>
      <c r="M193" s="7">
        <f t="shared" si="10"/>
        <v>5.1333333333333337</v>
      </c>
      <c r="N193" s="2"/>
    </row>
    <row r="194" spans="1:14" ht="15.75" customHeight="1" x14ac:dyDescent="0.25">
      <c r="A194" s="10" t="s">
        <v>65</v>
      </c>
      <c r="B194" s="10" t="s">
        <v>16</v>
      </c>
      <c r="C194" s="5">
        <v>45995</v>
      </c>
      <c r="D194" s="6">
        <v>19.399999999999999</v>
      </c>
      <c r="E194" s="6">
        <v>45.2</v>
      </c>
      <c r="F194" s="6">
        <v>9.9</v>
      </c>
      <c r="G194" s="6">
        <v>8.1999999999999993</v>
      </c>
      <c r="H194" s="6">
        <v>4</v>
      </c>
      <c r="I194" s="6">
        <v>87</v>
      </c>
      <c r="J194" s="6">
        <v>182</v>
      </c>
      <c r="K194" s="6">
        <v>-1.48</v>
      </c>
      <c r="L194" s="6">
        <v>69.3</v>
      </c>
      <c r="M194" s="7">
        <f t="shared" si="10"/>
        <v>5.51219512195122</v>
      </c>
      <c r="N194" s="2"/>
    </row>
    <row r="195" spans="1:14" ht="15.75" customHeight="1" x14ac:dyDescent="0.25">
      <c r="A195" s="10" t="s">
        <v>73</v>
      </c>
      <c r="B195" s="8" t="s">
        <v>26</v>
      </c>
      <c r="C195" s="5">
        <v>45995</v>
      </c>
      <c r="D195" s="6">
        <v>18.899999999999999</v>
      </c>
      <c r="E195" s="6">
        <v>47.5</v>
      </c>
      <c r="F195" s="6">
        <v>10.199999999999999</v>
      </c>
      <c r="G195" s="6">
        <v>9.6999999999999993</v>
      </c>
      <c r="H195" s="6">
        <v>4.0999999999999996</v>
      </c>
      <c r="I195" s="6">
        <v>90.7</v>
      </c>
      <c r="J195" s="6">
        <v>187</v>
      </c>
      <c r="K195" s="6">
        <v>-1.75</v>
      </c>
      <c r="L195" s="6">
        <v>61</v>
      </c>
      <c r="M195" s="7">
        <f t="shared" si="10"/>
        <v>4.8969072164948457</v>
      </c>
      <c r="N195" s="2"/>
    </row>
    <row r="196" spans="1:14" ht="15.75" customHeight="1" x14ac:dyDescent="0.25">
      <c r="A196" s="10" t="s">
        <v>53</v>
      </c>
      <c r="B196" s="10" t="s">
        <v>18</v>
      </c>
      <c r="C196" s="5">
        <v>45995</v>
      </c>
      <c r="D196" s="6">
        <v>19.600000000000001</v>
      </c>
      <c r="E196" s="6">
        <v>56.7</v>
      </c>
      <c r="F196" s="6">
        <v>11.4</v>
      </c>
      <c r="G196" s="6">
        <v>9.3000000000000007</v>
      </c>
      <c r="H196" s="6">
        <v>4.3</v>
      </c>
      <c r="I196" s="6">
        <v>101.5</v>
      </c>
      <c r="J196" s="6">
        <v>180.3</v>
      </c>
      <c r="K196" s="6">
        <v>-1.38</v>
      </c>
      <c r="L196" s="6">
        <v>72.5</v>
      </c>
      <c r="M196" s="7">
        <f t="shared" si="10"/>
        <v>6.096774193548387</v>
      </c>
      <c r="N196" s="2"/>
    </row>
    <row r="197" spans="1:14" ht="15.75" customHeight="1" x14ac:dyDescent="0.25">
      <c r="A197" s="10" t="s">
        <v>54</v>
      </c>
      <c r="B197" s="8" t="s">
        <v>26</v>
      </c>
      <c r="C197" s="5">
        <v>45995</v>
      </c>
      <c r="D197" s="6">
        <v>22.2</v>
      </c>
      <c r="E197" s="6">
        <v>48.9</v>
      </c>
      <c r="F197" s="6">
        <v>11.2</v>
      </c>
      <c r="G197" s="6">
        <v>9.6</v>
      </c>
      <c r="H197" s="6">
        <v>4.5999999999999996</v>
      </c>
      <c r="I197" s="6">
        <v>96.7</v>
      </c>
      <c r="J197" s="6">
        <v>193.2</v>
      </c>
      <c r="K197" s="6">
        <v>-1.71</v>
      </c>
      <c r="L197" s="6">
        <v>64.5</v>
      </c>
      <c r="M197" s="7">
        <f t="shared" si="10"/>
        <v>5.09375</v>
      </c>
      <c r="N197" s="2"/>
    </row>
    <row r="198" spans="1:14" ht="15.75" customHeight="1" x14ac:dyDescent="0.25">
      <c r="A198" s="8" t="s">
        <v>21</v>
      </c>
      <c r="B198" s="8" t="s">
        <v>22</v>
      </c>
      <c r="C198" s="5">
        <v>46000</v>
      </c>
      <c r="D198" s="6">
        <v>25.3</v>
      </c>
      <c r="E198" s="6">
        <v>61.4</v>
      </c>
      <c r="F198" s="6">
        <v>15.4</v>
      </c>
      <c r="G198" s="6">
        <v>12.47</v>
      </c>
      <c r="H198" s="6">
        <v>4.54</v>
      </c>
      <c r="I198" s="6">
        <v>119.1</v>
      </c>
      <c r="J198" s="6">
        <v>180</v>
      </c>
      <c r="K198" s="6">
        <v>-0.44</v>
      </c>
      <c r="L198" s="6">
        <v>107</v>
      </c>
      <c r="M198" s="7">
        <f t="shared" si="10"/>
        <v>4.9238171611868484</v>
      </c>
      <c r="N198" s="2"/>
    </row>
    <row r="199" spans="1:14" ht="15.75" customHeight="1" x14ac:dyDescent="0.25">
      <c r="A199" s="8" t="s">
        <v>28</v>
      </c>
      <c r="B199" s="8" t="s">
        <v>29</v>
      </c>
      <c r="C199" s="5">
        <v>46000</v>
      </c>
      <c r="D199" s="6">
        <v>18.600000000000001</v>
      </c>
      <c r="E199" s="6">
        <v>48.63</v>
      </c>
      <c r="F199" s="6">
        <v>10.64</v>
      </c>
      <c r="G199" s="6">
        <v>10.42</v>
      </c>
      <c r="H199" s="6">
        <v>4.59</v>
      </c>
      <c r="I199" s="6">
        <v>92.9</v>
      </c>
      <c r="J199" s="6">
        <v>193</v>
      </c>
      <c r="K199" s="6">
        <v>-2.1800000000000002</v>
      </c>
      <c r="L199" s="6">
        <v>46</v>
      </c>
      <c r="M199" s="7">
        <v>4.7</v>
      </c>
      <c r="N199" s="2"/>
    </row>
    <row r="200" spans="1:14" ht="15.75" customHeight="1" x14ac:dyDescent="0.25">
      <c r="A200" s="8" t="s">
        <v>30</v>
      </c>
      <c r="B200" s="8" t="s">
        <v>15</v>
      </c>
      <c r="C200" s="5">
        <v>46000</v>
      </c>
      <c r="D200" s="6">
        <v>12.36</v>
      </c>
      <c r="E200" s="6">
        <v>42.46</v>
      </c>
      <c r="F200" s="6">
        <v>9.66</v>
      </c>
      <c r="G200" s="6">
        <v>8.1300000000000008</v>
      </c>
      <c r="H200" s="6">
        <v>3.99</v>
      </c>
      <c r="I200" s="6">
        <v>76.599999999999994</v>
      </c>
      <c r="J200" s="6">
        <v>182</v>
      </c>
      <c r="K200" s="6">
        <v>-2.61</v>
      </c>
      <c r="L200" s="6">
        <v>27.5</v>
      </c>
      <c r="M200" s="7">
        <f t="shared" ref="M200:M208" si="11">E200/G200</f>
        <v>5.2226322263222631</v>
      </c>
      <c r="N200" s="2"/>
    </row>
    <row r="201" spans="1:14" ht="15.75" customHeight="1" x14ac:dyDescent="0.25">
      <c r="A201" s="8" t="s">
        <v>31</v>
      </c>
      <c r="B201" s="8" t="s">
        <v>26</v>
      </c>
      <c r="C201" s="5">
        <v>46000</v>
      </c>
      <c r="D201" s="6">
        <v>19.63</v>
      </c>
      <c r="E201" s="6">
        <v>49.54</v>
      </c>
      <c r="F201" s="6">
        <v>10.35</v>
      </c>
      <c r="G201" s="6">
        <v>10.58</v>
      </c>
      <c r="H201" s="6">
        <v>4.2300000000000004</v>
      </c>
      <c r="I201" s="6">
        <v>94.3</v>
      </c>
      <c r="J201" s="6">
        <v>186</v>
      </c>
      <c r="K201" s="6">
        <v>-1.62</v>
      </c>
      <c r="L201" s="6">
        <v>65.5</v>
      </c>
      <c r="M201" s="7">
        <f t="shared" si="11"/>
        <v>4.6824196597353493</v>
      </c>
      <c r="N201" s="2"/>
    </row>
    <row r="202" spans="1:14" ht="15.75" customHeight="1" x14ac:dyDescent="0.25">
      <c r="A202" s="8" t="s">
        <v>33</v>
      </c>
      <c r="B202" s="8" t="s">
        <v>34</v>
      </c>
      <c r="C202" s="5">
        <v>46000</v>
      </c>
      <c r="D202" s="6">
        <v>14.67</v>
      </c>
      <c r="E202" s="6">
        <v>38.96</v>
      </c>
      <c r="F202" s="6">
        <v>7.6</v>
      </c>
      <c r="G202" s="6">
        <v>8.4499999999999993</v>
      </c>
      <c r="H202" s="6">
        <v>3.93</v>
      </c>
      <c r="I202" s="6">
        <v>73.3</v>
      </c>
      <c r="J202" s="6">
        <v>182.6</v>
      </c>
      <c r="K202" s="6">
        <v>-2.34</v>
      </c>
      <c r="L202" s="6">
        <v>37.5</v>
      </c>
      <c r="M202" s="7">
        <f t="shared" si="11"/>
        <v>4.6106508875739651</v>
      </c>
      <c r="N202" s="2"/>
    </row>
    <row r="203" spans="1:14" ht="15.75" customHeight="1" x14ac:dyDescent="0.25">
      <c r="A203" s="8" t="s">
        <v>70</v>
      </c>
      <c r="B203" s="8" t="s">
        <v>22</v>
      </c>
      <c r="C203" s="5">
        <v>46000</v>
      </c>
      <c r="D203" s="6">
        <v>34.700000000000003</v>
      </c>
      <c r="E203" s="6">
        <v>54.7</v>
      </c>
      <c r="F203" s="6">
        <v>13.2</v>
      </c>
      <c r="G203" s="6">
        <v>11.84</v>
      </c>
      <c r="H203" s="6">
        <v>4.6100000000000003</v>
      </c>
      <c r="I203" s="6">
        <v>119.1</v>
      </c>
      <c r="J203" s="6">
        <v>188.3</v>
      </c>
      <c r="K203" s="6">
        <v>0.42</v>
      </c>
      <c r="L203" s="6">
        <v>145</v>
      </c>
      <c r="M203" s="7">
        <f t="shared" si="11"/>
        <v>4.6199324324324325</v>
      </c>
      <c r="N203" s="2"/>
    </row>
    <row r="204" spans="1:14" ht="15.75" customHeight="1" x14ac:dyDescent="0.25">
      <c r="A204" s="8" t="s">
        <v>36</v>
      </c>
      <c r="B204" s="8" t="s">
        <v>26</v>
      </c>
      <c r="C204" s="5">
        <v>46000</v>
      </c>
      <c r="D204" s="6">
        <v>24.43</v>
      </c>
      <c r="E204" s="6">
        <v>58.59</v>
      </c>
      <c r="F204" s="6">
        <v>11.49</v>
      </c>
      <c r="G204" s="6">
        <v>10.88</v>
      </c>
      <c r="H204" s="6">
        <v>4.62</v>
      </c>
      <c r="I204" s="6">
        <v>110</v>
      </c>
      <c r="J204" s="6">
        <v>191</v>
      </c>
      <c r="K204" s="6">
        <v>-1.22</v>
      </c>
      <c r="L204" s="6">
        <v>83</v>
      </c>
      <c r="M204" s="7">
        <f t="shared" si="11"/>
        <v>5.3851102941176467</v>
      </c>
      <c r="N204" s="2"/>
    </row>
    <row r="205" spans="1:14" ht="15.75" customHeight="1" x14ac:dyDescent="0.25">
      <c r="A205" s="8" t="s">
        <v>41</v>
      </c>
      <c r="B205" s="8" t="s">
        <v>22</v>
      </c>
      <c r="C205" s="5">
        <v>46000</v>
      </c>
      <c r="D205" s="6">
        <v>32.49</v>
      </c>
      <c r="E205" s="6">
        <v>63.84</v>
      </c>
      <c r="F205" s="6">
        <v>18.8</v>
      </c>
      <c r="G205" s="6">
        <v>13.41</v>
      </c>
      <c r="H205" s="6">
        <v>4.66</v>
      </c>
      <c r="I205" s="6">
        <v>133.19999999999999</v>
      </c>
      <c r="J205" s="6">
        <v>179.1</v>
      </c>
      <c r="K205" s="6">
        <v>0.85</v>
      </c>
      <c r="L205" s="6">
        <v>153.5</v>
      </c>
      <c r="M205" s="7">
        <f t="shared" si="11"/>
        <v>4.7606263982102908</v>
      </c>
      <c r="N205" s="2"/>
    </row>
    <row r="206" spans="1:14" ht="15.75" customHeight="1" x14ac:dyDescent="0.25">
      <c r="A206" s="8" t="s">
        <v>44</v>
      </c>
      <c r="B206" s="8" t="s">
        <v>39</v>
      </c>
      <c r="C206" s="5">
        <v>46000</v>
      </c>
      <c r="D206" s="6">
        <v>14</v>
      </c>
      <c r="E206" s="6">
        <v>46.3</v>
      </c>
      <c r="F206" s="6">
        <v>9.5</v>
      </c>
      <c r="G206" s="6">
        <v>9.41</v>
      </c>
      <c r="H206" s="6">
        <v>4.0999999999999996</v>
      </c>
      <c r="I206" s="6">
        <v>83.4</v>
      </c>
      <c r="J206" s="6">
        <v>182.6</v>
      </c>
      <c r="K206" s="6">
        <v>-2.37</v>
      </c>
      <c r="L206" s="6">
        <v>36.5</v>
      </c>
      <c r="M206" s="7">
        <f t="shared" si="11"/>
        <v>4.9202975557917101</v>
      </c>
      <c r="N206" s="2"/>
    </row>
    <row r="207" spans="1:14" ht="15.75" customHeight="1" x14ac:dyDescent="0.25">
      <c r="A207" s="8" t="s">
        <v>49</v>
      </c>
      <c r="B207" s="8" t="s">
        <v>26</v>
      </c>
      <c r="C207" s="5">
        <v>46000</v>
      </c>
      <c r="D207" s="6">
        <v>22.06</v>
      </c>
      <c r="E207" s="6">
        <v>54.66</v>
      </c>
      <c r="F207" s="6">
        <v>14.96</v>
      </c>
      <c r="G207" s="6">
        <v>11.09</v>
      </c>
      <c r="H207" s="6">
        <v>4.42</v>
      </c>
      <c r="I207" s="6">
        <v>107.2</v>
      </c>
      <c r="J207" s="6">
        <v>188</v>
      </c>
      <c r="K207" s="6">
        <v>-1.33</v>
      </c>
      <c r="L207" s="6">
        <v>77.5</v>
      </c>
      <c r="M207" s="7">
        <f t="shared" si="11"/>
        <v>4.9287646528403961</v>
      </c>
      <c r="N207" s="2"/>
    </row>
    <row r="208" spans="1:14" ht="15.75" customHeight="1" x14ac:dyDescent="0.25">
      <c r="A208" s="2" t="s">
        <v>72</v>
      </c>
      <c r="B208" s="10" t="s">
        <v>18</v>
      </c>
      <c r="C208" s="12">
        <v>46000</v>
      </c>
      <c r="D208" s="4">
        <v>20.7</v>
      </c>
      <c r="E208" s="4">
        <v>49.2</v>
      </c>
      <c r="F208" s="4">
        <v>12.8</v>
      </c>
      <c r="G208" s="4">
        <v>10.199999999999999</v>
      </c>
      <c r="H208" s="4">
        <v>4.0999999999999996</v>
      </c>
      <c r="I208" s="4">
        <v>97.3</v>
      </c>
      <c r="J208" s="4">
        <v>176.3</v>
      </c>
      <c r="K208" s="4">
        <v>-1.02</v>
      </c>
      <c r="L208" s="4">
        <v>84</v>
      </c>
      <c r="M208" s="7">
        <f t="shared" si="11"/>
        <v>4.8235294117647065</v>
      </c>
      <c r="N208" s="2"/>
    </row>
    <row r="209" spans="1:14" ht="15.75" customHeight="1" x14ac:dyDescent="0.25">
      <c r="A209" s="2" t="s">
        <v>99</v>
      </c>
      <c r="B209" s="2" t="s">
        <v>29</v>
      </c>
      <c r="C209" s="12">
        <v>46001</v>
      </c>
      <c r="D209" s="4">
        <v>22.97</v>
      </c>
      <c r="E209" s="4">
        <v>66.650000000000006</v>
      </c>
      <c r="F209" s="4">
        <v>12.93</v>
      </c>
      <c r="G209" s="4">
        <v>10.75</v>
      </c>
      <c r="H209" s="4">
        <v>4.51</v>
      </c>
      <c r="I209" s="4">
        <v>117.8</v>
      </c>
      <c r="J209" s="4">
        <v>193.4</v>
      </c>
      <c r="K209" s="4">
        <v>-1.34</v>
      </c>
      <c r="L209" s="4">
        <v>79.5</v>
      </c>
      <c r="M209" s="20">
        <v>6.2</v>
      </c>
      <c r="N209" s="2"/>
    </row>
    <row r="210" spans="1:14" ht="15.75" customHeight="1" x14ac:dyDescent="0.25">
      <c r="A210" s="19" t="s">
        <v>56</v>
      </c>
      <c r="B210" s="2" t="s">
        <v>57</v>
      </c>
      <c r="C210" s="12">
        <v>46001</v>
      </c>
      <c r="D210" s="4">
        <v>23</v>
      </c>
      <c r="E210" s="4">
        <v>66.599999999999994</v>
      </c>
      <c r="F210" s="4">
        <v>12.9</v>
      </c>
      <c r="G210" s="4">
        <v>10.8</v>
      </c>
      <c r="H210" s="4">
        <v>4.5</v>
      </c>
      <c r="I210" s="4">
        <v>117.8</v>
      </c>
      <c r="J210" s="4">
        <v>193.4</v>
      </c>
      <c r="K210" s="4">
        <v>-1.3</v>
      </c>
      <c r="L210" s="4">
        <v>79.5</v>
      </c>
      <c r="M210" s="7">
        <f>E210/G210</f>
        <v>6.1666666666666661</v>
      </c>
    </row>
    <row r="211" spans="1:14" ht="15.75" customHeight="1" x14ac:dyDescent="0.25">
      <c r="A211" s="8" t="s">
        <v>24</v>
      </c>
      <c r="B211" s="8" t="s">
        <v>22</v>
      </c>
      <c r="C211" s="5">
        <v>46003</v>
      </c>
      <c r="D211" s="6">
        <v>24.17</v>
      </c>
      <c r="E211" s="6">
        <v>69.180000000000007</v>
      </c>
      <c r="F211" s="6">
        <v>16.690000000000001</v>
      </c>
      <c r="G211" s="6">
        <v>12.67</v>
      </c>
      <c r="H211" s="6">
        <v>4.78</v>
      </c>
      <c r="I211" s="6">
        <v>127.5</v>
      </c>
      <c r="J211" s="6">
        <v>180.2</v>
      </c>
      <c r="K211" s="6">
        <v>-0.71</v>
      </c>
      <c r="L211" s="6">
        <v>97</v>
      </c>
      <c r="M211" s="7">
        <v>5.5</v>
      </c>
      <c r="N211" s="2"/>
    </row>
    <row r="212" spans="1:14" ht="15.75" customHeight="1" x14ac:dyDescent="0.3">
      <c r="A212" s="13" t="s">
        <v>42</v>
      </c>
      <c r="B212" s="13" t="s">
        <v>15</v>
      </c>
      <c r="C212" s="15">
        <v>46003</v>
      </c>
      <c r="D212" s="2">
        <v>17.7</v>
      </c>
      <c r="E212" s="2">
        <v>43.7</v>
      </c>
      <c r="F212" s="2">
        <v>10.3</v>
      </c>
      <c r="G212" s="2">
        <v>9</v>
      </c>
      <c r="H212" s="2">
        <v>3.9</v>
      </c>
      <c r="I212" s="2">
        <v>84.7</v>
      </c>
      <c r="J212" s="2">
        <v>176.8</v>
      </c>
      <c r="K212" s="2">
        <v>-1.49</v>
      </c>
      <c r="L212" s="2">
        <v>67</v>
      </c>
      <c r="M212" s="14">
        <f>E212/G212</f>
        <v>4.8555555555555561</v>
      </c>
      <c r="N212" s="13"/>
    </row>
    <row r="213" spans="1:14" ht="13.8" x14ac:dyDescent="0.25">
      <c r="A213" s="2" t="s">
        <v>55</v>
      </c>
      <c r="B213" s="2" t="s">
        <v>29</v>
      </c>
      <c r="C213" s="12">
        <v>46007</v>
      </c>
      <c r="D213" s="4">
        <v>29.87</v>
      </c>
      <c r="E213" s="4">
        <v>61.37</v>
      </c>
      <c r="F213" s="4">
        <v>15.84</v>
      </c>
      <c r="G213" s="4">
        <v>11.25</v>
      </c>
      <c r="H213" s="4">
        <v>4.67</v>
      </c>
      <c r="I213" s="4">
        <v>123</v>
      </c>
      <c r="J213" s="4">
        <v>195.5</v>
      </c>
      <c r="K213" s="4">
        <v>-0.57999999999999996</v>
      </c>
      <c r="L213" s="4">
        <v>110.5</v>
      </c>
      <c r="M213" s="20">
        <v>5.5</v>
      </c>
      <c r="N213" s="2"/>
    </row>
    <row r="214" spans="1:14" ht="13.8" x14ac:dyDescent="0.25">
      <c r="A214" s="11" t="s">
        <v>85</v>
      </c>
      <c r="B214" s="2" t="s">
        <v>22</v>
      </c>
      <c r="C214" s="12">
        <v>46036</v>
      </c>
      <c r="D214" s="4">
        <v>26</v>
      </c>
      <c r="E214" s="4">
        <v>59.2</v>
      </c>
      <c r="F214" s="4">
        <v>14.4</v>
      </c>
      <c r="G214" s="4">
        <v>11.4</v>
      </c>
      <c r="H214" s="4">
        <v>4.5999999999999996</v>
      </c>
      <c r="I214" s="4">
        <v>115.5</v>
      </c>
      <c r="J214" s="4">
        <v>180.8</v>
      </c>
      <c r="K214" s="4">
        <v>-0.5</v>
      </c>
      <c r="L214" s="4">
        <v>106.5</v>
      </c>
      <c r="M214" s="7">
        <f t="shared" ref="M214:M238" si="12">E214/G214</f>
        <v>5.192982456140351</v>
      </c>
    </row>
    <row r="215" spans="1:14" ht="13.8" x14ac:dyDescent="0.25">
      <c r="A215" s="8" t="s">
        <v>17</v>
      </c>
      <c r="B215" s="8" t="s">
        <v>18</v>
      </c>
      <c r="C215" s="5">
        <v>46049</v>
      </c>
      <c r="D215" s="6">
        <v>27.2</v>
      </c>
      <c r="E215" s="6">
        <v>55.5</v>
      </c>
      <c r="F215" s="6">
        <v>13.1</v>
      </c>
      <c r="G215" s="6">
        <v>12</v>
      </c>
      <c r="H215" s="6">
        <v>4</v>
      </c>
      <c r="I215" s="6">
        <v>112.3</v>
      </c>
      <c r="J215" s="6">
        <v>182.3</v>
      </c>
      <c r="K215" s="6">
        <v>-0.4</v>
      </c>
      <c r="L215" s="6">
        <v>110.5</v>
      </c>
      <c r="M215" s="7">
        <f t="shared" si="12"/>
        <v>4.625</v>
      </c>
    </row>
    <row r="216" spans="1:14" ht="13.8" x14ac:dyDescent="0.25">
      <c r="A216" s="8" t="s">
        <v>45</v>
      </c>
      <c r="B216" s="8" t="s">
        <v>16</v>
      </c>
      <c r="C216" s="5">
        <v>46049</v>
      </c>
      <c r="D216" s="6">
        <v>22.4</v>
      </c>
      <c r="E216" s="6">
        <v>53.2</v>
      </c>
      <c r="F216" s="6">
        <v>11.2</v>
      </c>
      <c r="G216" s="6">
        <v>11.3</v>
      </c>
      <c r="H216" s="6">
        <v>4.4000000000000004</v>
      </c>
      <c r="I216" s="6">
        <v>102.5</v>
      </c>
      <c r="J216" s="6">
        <v>183</v>
      </c>
      <c r="K216" s="6">
        <v>-1.1000000000000001</v>
      </c>
      <c r="L216" s="6">
        <v>84</v>
      </c>
      <c r="M216" s="7">
        <f t="shared" si="12"/>
        <v>4.7079646017699117</v>
      </c>
    </row>
    <row r="217" spans="1:14" ht="13.8" x14ac:dyDescent="0.25">
      <c r="A217" s="8" t="s">
        <v>46</v>
      </c>
      <c r="B217" s="8" t="s">
        <v>18</v>
      </c>
      <c r="C217" s="5">
        <v>46049</v>
      </c>
      <c r="D217" s="6">
        <v>22.2</v>
      </c>
      <c r="E217" s="6">
        <v>56</v>
      </c>
      <c r="F217" s="6">
        <v>11.4</v>
      </c>
      <c r="G217" s="6">
        <v>11.4</v>
      </c>
      <c r="H217" s="6">
        <v>4.4000000000000004</v>
      </c>
      <c r="I217" s="6">
        <v>105.4</v>
      </c>
      <c r="J217" s="6">
        <v>177</v>
      </c>
      <c r="K217" s="6">
        <v>-0.9</v>
      </c>
      <c r="L217" s="6">
        <v>89.5</v>
      </c>
      <c r="M217" s="7">
        <f t="shared" si="12"/>
        <v>4.9122807017543861</v>
      </c>
    </row>
    <row r="218" spans="1:14" ht="13.8" x14ac:dyDescent="0.25">
      <c r="A218" s="8" t="s">
        <v>21</v>
      </c>
      <c r="B218" s="8" t="s">
        <v>22</v>
      </c>
      <c r="C218" s="9">
        <v>46051</v>
      </c>
      <c r="D218" s="6">
        <v>25.3</v>
      </c>
      <c r="E218" s="6">
        <v>64.900000000000006</v>
      </c>
      <c r="F218" s="6">
        <v>15.5</v>
      </c>
      <c r="G218" s="6">
        <v>12.5</v>
      </c>
      <c r="H218" s="6">
        <v>4.7</v>
      </c>
      <c r="I218" s="6">
        <v>122.9</v>
      </c>
      <c r="J218" s="6">
        <v>180</v>
      </c>
      <c r="K218" s="6">
        <v>-0.5</v>
      </c>
      <c r="L218" s="6">
        <v>103.5</v>
      </c>
      <c r="M218" s="7">
        <f t="shared" si="12"/>
        <v>5.1920000000000002</v>
      </c>
    </row>
    <row r="219" spans="1:14" ht="13.8" x14ac:dyDescent="0.25">
      <c r="A219" s="8" t="s">
        <v>37</v>
      </c>
      <c r="B219" s="8" t="s">
        <v>34</v>
      </c>
      <c r="C219" s="9">
        <v>46051</v>
      </c>
      <c r="D219" s="6">
        <v>13.9</v>
      </c>
      <c r="E219" s="6">
        <v>43.9</v>
      </c>
      <c r="F219" s="6">
        <v>9.9</v>
      </c>
      <c r="G219" s="6">
        <v>8.3000000000000007</v>
      </c>
      <c r="H219" s="6">
        <v>3.8</v>
      </c>
      <c r="I219" s="6">
        <v>79.8</v>
      </c>
      <c r="J219" s="6">
        <v>173.7</v>
      </c>
      <c r="K219" s="6">
        <v>-2</v>
      </c>
      <c r="L219" s="6">
        <v>46.5</v>
      </c>
      <c r="M219" s="7">
        <f t="shared" si="12"/>
        <v>5.2891566265060233</v>
      </c>
    </row>
    <row r="220" spans="1:14" ht="13.8" x14ac:dyDescent="0.25">
      <c r="A220" s="8" t="s">
        <v>51</v>
      </c>
      <c r="B220" s="8" t="s">
        <v>34</v>
      </c>
      <c r="C220" s="9">
        <v>46051</v>
      </c>
      <c r="D220" s="6">
        <v>16.2</v>
      </c>
      <c r="E220" s="6">
        <v>44</v>
      </c>
      <c r="F220" s="6">
        <v>9.6999999999999993</v>
      </c>
      <c r="G220" s="6">
        <v>7.8</v>
      </c>
      <c r="H220" s="6">
        <v>3.9</v>
      </c>
      <c r="I220" s="6">
        <v>81.7</v>
      </c>
      <c r="J220" s="6">
        <v>172.3</v>
      </c>
      <c r="K220" s="6">
        <v>-1.7</v>
      </c>
      <c r="L220" s="6">
        <v>59.5</v>
      </c>
      <c r="M220" s="7">
        <f t="shared" si="12"/>
        <v>5.6410256410256414</v>
      </c>
    </row>
    <row r="221" spans="1:14" ht="13.8" x14ac:dyDescent="0.25">
      <c r="A221" s="10" t="s">
        <v>53</v>
      </c>
      <c r="B221" s="10" t="s">
        <v>18</v>
      </c>
      <c r="C221" s="5">
        <v>46051</v>
      </c>
      <c r="D221" s="6">
        <v>20.8</v>
      </c>
      <c r="E221" s="6">
        <v>55.6</v>
      </c>
      <c r="F221" s="6">
        <v>12.1</v>
      </c>
      <c r="G221" s="6">
        <v>10</v>
      </c>
      <c r="H221" s="6">
        <v>4.4000000000000004</v>
      </c>
      <c r="I221" s="6">
        <v>102.8</v>
      </c>
      <c r="J221" s="6">
        <v>180.3</v>
      </c>
      <c r="K221" s="6">
        <v>-1.2</v>
      </c>
      <c r="L221" s="6">
        <v>78</v>
      </c>
      <c r="M221" s="7">
        <f t="shared" si="12"/>
        <v>5.5600000000000005</v>
      </c>
    </row>
    <row r="222" spans="1:14" ht="13.8" x14ac:dyDescent="0.25">
      <c r="A222" s="11" t="s">
        <v>63</v>
      </c>
      <c r="B222" s="2" t="s">
        <v>16</v>
      </c>
      <c r="C222" s="5">
        <v>46051</v>
      </c>
      <c r="D222" s="4">
        <v>19.8</v>
      </c>
      <c r="E222" s="4">
        <v>46.7</v>
      </c>
      <c r="F222" s="4">
        <v>9</v>
      </c>
      <c r="G222" s="4">
        <v>9</v>
      </c>
      <c r="H222" s="4">
        <v>4.0999999999999996</v>
      </c>
      <c r="I222" s="4">
        <v>88.7</v>
      </c>
      <c r="J222" s="4">
        <v>181.5</v>
      </c>
      <c r="K222" s="4">
        <v>-1.5</v>
      </c>
      <c r="L222" s="4">
        <v>70</v>
      </c>
      <c r="M222" s="7">
        <f t="shared" si="12"/>
        <v>5.1888888888888891</v>
      </c>
    </row>
    <row r="223" spans="1:14" ht="13.8" x14ac:dyDescent="0.25">
      <c r="A223" s="19" t="s">
        <v>64</v>
      </c>
      <c r="B223" s="2" t="s">
        <v>15</v>
      </c>
      <c r="C223" s="5">
        <v>46051</v>
      </c>
      <c r="D223" s="4">
        <v>12.5</v>
      </c>
      <c r="E223" s="4">
        <v>48.8</v>
      </c>
      <c r="F223" s="4">
        <v>10.1</v>
      </c>
      <c r="G223" s="4">
        <v>8.8000000000000007</v>
      </c>
      <c r="H223" s="4">
        <v>4</v>
      </c>
      <c r="I223" s="4">
        <v>84.2</v>
      </c>
      <c r="J223" s="4">
        <v>176.8</v>
      </c>
      <c r="K223" s="4">
        <v>-2.41</v>
      </c>
      <c r="L223" s="4">
        <v>34</v>
      </c>
      <c r="M223" s="7">
        <f t="shared" si="12"/>
        <v>5.545454545454545</v>
      </c>
    </row>
    <row r="224" spans="1:14" ht="13.8" x14ac:dyDescent="0.25">
      <c r="A224" s="19" t="s">
        <v>71</v>
      </c>
      <c r="B224" s="2" t="s">
        <v>22</v>
      </c>
      <c r="C224" s="5">
        <v>46051</v>
      </c>
      <c r="D224" s="4">
        <v>34</v>
      </c>
      <c r="E224" s="4">
        <v>55.5</v>
      </c>
      <c r="F224" s="4">
        <v>13.3</v>
      </c>
      <c r="G224" s="4">
        <v>11.8</v>
      </c>
      <c r="H224" s="4">
        <v>4.5999999999999996</v>
      </c>
      <c r="I224" s="4">
        <v>119.3</v>
      </c>
      <c r="J224" s="4">
        <v>188.3</v>
      </c>
      <c r="K224" s="4">
        <v>0.34</v>
      </c>
      <c r="L224" s="4">
        <v>139</v>
      </c>
      <c r="M224" s="7">
        <f t="shared" si="12"/>
        <v>4.703389830508474</v>
      </c>
    </row>
    <row r="225" spans="1:13" ht="13.8" x14ac:dyDescent="0.25">
      <c r="A225" s="19" t="s">
        <v>84</v>
      </c>
      <c r="B225" s="2" t="s">
        <v>15</v>
      </c>
      <c r="C225" s="12">
        <v>46051</v>
      </c>
      <c r="D225" s="4">
        <v>14.6</v>
      </c>
      <c r="E225" s="4">
        <v>48.6</v>
      </c>
      <c r="F225" s="4">
        <v>10</v>
      </c>
      <c r="G225" s="4">
        <v>9.4</v>
      </c>
      <c r="H225" s="4">
        <v>4</v>
      </c>
      <c r="I225" s="4">
        <v>86.5</v>
      </c>
      <c r="J225" s="4">
        <v>177.3</v>
      </c>
      <c r="K225" s="4">
        <v>-2.1</v>
      </c>
      <c r="L225" s="4">
        <v>46.5</v>
      </c>
      <c r="M225" s="7">
        <f t="shared" si="12"/>
        <v>5.1702127659574471</v>
      </c>
    </row>
    <row r="226" spans="1:13" ht="13.8" x14ac:dyDescent="0.25">
      <c r="A226" s="8" t="s">
        <v>25</v>
      </c>
      <c r="B226" s="8" t="s">
        <v>26</v>
      </c>
      <c r="C226" s="9">
        <v>46056</v>
      </c>
      <c r="D226" s="6">
        <v>20.399999999999999</v>
      </c>
      <c r="E226" s="6">
        <v>48.7</v>
      </c>
      <c r="F226" s="6">
        <v>10.7</v>
      </c>
      <c r="G226" s="6">
        <v>8.8000000000000007</v>
      </c>
      <c r="H226" s="6">
        <v>4.2</v>
      </c>
      <c r="I226" s="6">
        <v>92.5</v>
      </c>
      <c r="J226" s="6">
        <v>191.8</v>
      </c>
      <c r="K226" s="6">
        <v>-1.71</v>
      </c>
      <c r="L226" s="6">
        <v>64</v>
      </c>
      <c r="M226" s="7">
        <f t="shared" si="12"/>
        <v>5.5340909090909092</v>
      </c>
    </row>
    <row r="227" spans="1:13" ht="13.8" x14ac:dyDescent="0.25">
      <c r="A227" s="8" t="s">
        <v>31</v>
      </c>
      <c r="B227" s="8" t="s">
        <v>26</v>
      </c>
      <c r="C227" s="9">
        <v>46056</v>
      </c>
      <c r="D227" s="6">
        <v>17.8</v>
      </c>
      <c r="E227" s="6">
        <v>50.5</v>
      </c>
      <c r="F227" s="6">
        <v>9.9</v>
      </c>
      <c r="G227" s="6">
        <v>10.6</v>
      </c>
      <c r="H227" s="6">
        <v>4.3</v>
      </c>
      <c r="I227" s="6">
        <v>93.1</v>
      </c>
      <c r="J227" s="6">
        <v>186</v>
      </c>
      <c r="K227" s="6">
        <v>-1.91</v>
      </c>
      <c r="L227" s="6">
        <v>54.5</v>
      </c>
      <c r="M227" s="7">
        <f t="shared" si="12"/>
        <v>4.7641509433962268</v>
      </c>
    </row>
    <row r="228" spans="1:13" ht="13.8" x14ac:dyDescent="0.25">
      <c r="A228" s="8" t="s">
        <v>32</v>
      </c>
      <c r="B228" s="8" t="s">
        <v>26</v>
      </c>
      <c r="C228" s="9">
        <v>46056</v>
      </c>
      <c r="D228" s="6">
        <v>19.100000000000001</v>
      </c>
      <c r="E228" s="6">
        <v>50.3</v>
      </c>
      <c r="F228" s="6">
        <v>11.3</v>
      </c>
      <c r="G228" s="6">
        <v>10.1</v>
      </c>
      <c r="H228" s="6">
        <v>4.0999999999999996</v>
      </c>
      <c r="I228" s="6">
        <v>94.9</v>
      </c>
      <c r="J228" s="6">
        <v>181</v>
      </c>
      <c r="K228" s="6">
        <v>-1.45</v>
      </c>
      <c r="L228" s="6">
        <v>70</v>
      </c>
      <c r="M228" s="7">
        <f t="shared" si="12"/>
        <v>4.9801980198019802</v>
      </c>
    </row>
    <row r="229" spans="1:13" ht="13.8" x14ac:dyDescent="0.25">
      <c r="A229" s="8" t="s">
        <v>43</v>
      </c>
      <c r="B229" s="8" t="s">
        <v>29</v>
      </c>
      <c r="C229" s="9">
        <v>46056</v>
      </c>
      <c r="D229" s="6">
        <v>21.2</v>
      </c>
      <c r="E229" s="6">
        <v>57.3</v>
      </c>
      <c r="F229" s="6">
        <v>12.4</v>
      </c>
      <c r="G229" s="6">
        <v>12.3</v>
      </c>
      <c r="H229" s="6">
        <v>4.5999999999999996</v>
      </c>
      <c r="I229" s="6">
        <v>107.9</v>
      </c>
      <c r="J229" s="6">
        <v>193.8</v>
      </c>
      <c r="K229" s="6">
        <v>-1.7</v>
      </c>
      <c r="L229" s="6">
        <v>63.5</v>
      </c>
      <c r="M229" s="7">
        <f t="shared" si="12"/>
        <v>4.6585365853658534</v>
      </c>
    </row>
    <row r="230" spans="1:13" ht="13.8" x14ac:dyDescent="0.25">
      <c r="A230" s="8" t="s">
        <v>48</v>
      </c>
      <c r="B230" s="8" t="s">
        <v>15</v>
      </c>
      <c r="C230" s="9">
        <v>46056</v>
      </c>
      <c r="D230" s="6">
        <v>13.9</v>
      </c>
      <c r="E230" s="6">
        <v>46.4</v>
      </c>
      <c r="F230" s="6">
        <v>10.4</v>
      </c>
      <c r="G230" s="6">
        <v>10.199999999999999</v>
      </c>
      <c r="H230" s="6">
        <v>4.0999999999999996</v>
      </c>
      <c r="I230" s="6">
        <v>85</v>
      </c>
      <c r="J230" s="6">
        <v>179.6</v>
      </c>
      <c r="K230" s="6">
        <v>-2.2999999999999998</v>
      </c>
      <c r="L230" s="6">
        <v>39.5</v>
      </c>
      <c r="M230" s="7">
        <f t="shared" si="12"/>
        <v>4.5490196078431371</v>
      </c>
    </row>
    <row r="231" spans="1:13" ht="13.8" x14ac:dyDescent="0.25">
      <c r="A231" s="11" t="s">
        <v>60</v>
      </c>
      <c r="B231" s="2" t="s">
        <v>29</v>
      </c>
      <c r="C231" s="5">
        <v>46056</v>
      </c>
      <c r="D231" s="4">
        <v>15.7</v>
      </c>
      <c r="E231" s="4">
        <v>56.7</v>
      </c>
      <c r="F231" s="4">
        <v>11.8</v>
      </c>
      <c r="G231" s="4">
        <v>10</v>
      </c>
      <c r="H231" s="4">
        <v>4.4000000000000004</v>
      </c>
      <c r="I231" s="4">
        <v>98.6</v>
      </c>
      <c r="J231" s="4">
        <v>185</v>
      </c>
      <c r="K231" s="4">
        <v>-2.1800000000000002</v>
      </c>
      <c r="L231" s="4">
        <v>44</v>
      </c>
      <c r="M231" s="7">
        <f t="shared" si="12"/>
        <v>5.67</v>
      </c>
    </row>
    <row r="232" spans="1:13" ht="13.8" x14ac:dyDescent="0.25">
      <c r="A232" s="11" t="s">
        <v>62</v>
      </c>
      <c r="B232" s="2" t="s">
        <v>18</v>
      </c>
      <c r="C232" s="5">
        <v>46056</v>
      </c>
      <c r="D232" s="4">
        <v>19.399999999999999</v>
      </c>
      <c r="E232" s="4">
        <v>55.9</v>
      </c>
      <c r="F232" s="4">
        <v>13</v>
      </c>
      <c r="G232" s="4">
        <v>9</v>
      </c>
      <c r="H232" s="4">
        <v>4.2</v>
      </c>
      <c r="I232" s="4">
        <v>101.6</v>
      </c>
      <c r="J232" s="4">
        <v>175.3</v>
      </c>
      <c r="K232" s="4">
        <v>-1.1000000000000001</v>
      </c>
      <c r="L232" s="4">
        <v>78</v>
      </c>
      <c r="M232" s="7">
        <f t="shared" si="12"/>
        <v>6.2111111111111112</v>
      </c>
    </row>
    <row r="233" spans="1:13" ht="13.8" x14ac:dyDescent="0.25">
      <c r="A233" s="19" t="s">
        <v>65</v>
      </c>
      <c r="B233" s="2" t="s">
        <v>15</v>
      </c>
      <c r="C233" s="5">
        <v>46056</v>
      </c>
      <c r="D233" s="4">
        <v>19.899999999999999</v>
      </c>
      <c r="E233" s="4">
        <v>45.4</v>
      </c>
      <c r="F233" s="4">
        <v>10.199999999999999</v>
      </c>
      <c r="G233" s="4">
        <v>8.3000000000000007</v>
      </c>
      <c r="H233" s="4">
        <v>4</v>
      </c>
      <c r="I233" s="4">
        <v>87.9</v>
      </c>
      <c r="J233" s="4">
        <v>182</v>
      </c>
      <c r="K233" s="4">
        <v>-1.4</v>
      </c>
      <c r="L233" s="4">
        <v>71.5</v>
      </c>
      <c r="M233" s="7">
        <f t="shared" si="12"/>
        <v>5.4698795180722888</v>
      </c>
    </row>
    <row r="234" spans="1:13" ht="13.8" x14ac:dyDescent="0.25">
      <c r="A234" s="11" t="s">
        <v>67</v>
      </c>
      <c r="B234" s="2" t="s">
        <v>22</v>
      </c>
      <c r="C234" s="5">
        <v>46056</v>
      </c>
      <c r="D234" s="4">
        <v>26.7</v>
      </c>
      <c r="E234" s="4">
        <v>54.6</v>
      </c>
      <c r="F234" s="4">
        <v>13.1</v>
      </c>
      <c r="G234" s="4">
        <v>11.3</v>
      </c>
      <c r="H234" s="4">
        <v>4.2</v>
      </c>
      <c r="I234" s="4">
        <v>109.9</v>
      </c>
      <c r="J234" s="4">
        <v>177</v>
      </c>
      <c r="K234" s="4">
        <v>0.12</v>
      </c>
      <c r="L234" s="4">
        <v>125.5</v>
      </c>
      <c r="M234" s="7">
        <f t="shared" si="12"/>
        <v>4.831858407079646</v>
      </c>
    </row>
    <row r="235" spans="1:13" ht="13.8" x14ac:dyDescent="0.25">
      <c r="A235" s="11" t="s">
        <v>68</v>
      </c>
      <c r="B235" s="2" t="s">
        <v>39</v>
      </c>
      <c r="C235" s="5">
        <v>46056</v>
      </c>
      <c r="D235" s="4">
        <v>14.2</v>
      </c>
      <c r="E235" s="4">
        <v>45.1</v>
      </c>
      <c r="F235" s="4">
        <v>9.8000000000000007</v>
      </c>
      <c r="G235" s="4">
        <v>8.4</v>
      </c>
      <c r="H235" s="4">
        <v>3.9</v>
      </c>
      <c r="I235" s="4">
        <v>81.400000000000006</v>
      </c>
      <c r="J235" s="4">
        <v>179</v>
      </c>
      <c r="K235" s="4">
        <v>-2.2000000000000002</v>
      </c>
      <c r="L235" s="4">
        <v>43.5</v>
      </c>
      <c r="M235" s="7">
        <f t="shared" si="12"/>
        <v>5.3690476190476186</v>
      </c>
    </row>
    <row r="236" spans="1:13" ht="13.8" x14ac:dyDescent="0.25">
      <c r="A236" s="11" t="s">
        <v>72</v>
      </c>
      <c r="B236" s="2" t="s">
        <v>18</v>
      </c>
      <c r="C236" s="5">
        <v>46056</v>
      </c>
      <c r="D236" s="4">
        <v>19.899999999999999</v>
      </c>
      <c r="E236" s="4">
        <v>49.9</v>
      </c>
      <c r="F236" s="4">
        <v>13.1</v>
      </c>
      <c r="G236" s="4">
        <v>10.3</v>
      </c>
      <c r="H236" s="4">
        <v>4.2</v>
      </c>
      <c r="I236" s="4">
        <v>97.3</v>
      </c>
      <c r="J236" s="4">
        <v>176.3</v>
      </c>
      <c r="K236" s="4">
        <v>-1.1000000000000001</v>
      </c>
      <c r="L236" s="4">
        <v>80</v>
      </c>
      <c r="M236" s="7">
        <f t="shared" si="12"/>
        <v>4.8446601941747565</v>
      </c>
    </row>
    <row r="237" spans="1:13" ht="13.8" x14ac:dyDescent="0.25">
      <c r="A237" s="19" t="s">
        <v>78</v>
      </c>
      <c r="B237" s="2" t="s">
        <v>16</v>
      </c>
      <c r="C237" s="5">
        <v>46056</v>
      </c>
      <c r="D237" s="4">
        <v>15</v>
      </c>
      <c r="E237" s="4">
        <v>45.9</v>
      </c>
      <c r="F237" s="4">
        <v>8.8000000000000007</v>
      </c>
      <c r="G237" s="4">
        <v>9.1999999999999993</v>
      </c>
      <c r="H237" s="4">
        <v>4.2</v>
      </c>
      <c r="I237" s="4">
        <v>83.1</v>
      </c>
      <c r="J237" s="4">
        <v>184</v>
      </c>
      <c r="K237" s="4">
        <v>-2.2999999999999998</v>
      </c>
      <c r="L237" s="4">
        <v>38.5</v>
      </c>
      <c r="M237" s="7">
        <f t="shared" si="12"/>
        <v>4.9891304347826093</v>
      </c>
    </row>
    <row r="238" spans="1:13" ht="13.8" x14ac:dyDescent="0.25">
      <c r="A238" s="8" t="s">
        <v>44</v>
      </c>
      <c r="B238" s="8" t="s">
        <v>39</v>
      </c>
      <c r="C238" s="9">
        <v>46057</v>
      </c>
      <c r="D238" s="6">
        <v>12.5</v>
      </c>
      <c r="E238" s="6">
        <v>47.4</v>
      </c>
      <c r="F238" s="6">
        <v>9.6</v>
      </c>
      <c r="G238" s="6">
        <v>9.4</v>
      </c>
      <c r="H238" s="6">
        <v>4.0999999999999996</v>
      </c>
      <c r="I238" s="6">
        <v>83</v>
      </c>
      <c r="J238" s="6">
        <v>182.6</v>
      </c>
      <c r="K238" s="6">
        <v>-2.6</v>
      </c>
      <c r="L238" s="6">
        <v>28</v>
      </c>
      <c r="M238" s="7">
        <f t="shared" si="12"/>
        <v>5.0425531914893611</v>
      </c>
    </row>
    <row r="239" spans="1:13" ht="13.8" x14ac:dyDescent="0.25">
      <c r="A239" s="8" t="s">
        <v>14</v>
      </c>
      <c r="B239" s="8" t="s">
        <v>16</v>
      </c>
      <c r="C239" s="5">
        <v>46058</v>
      </c>
      <c r="D239" s="6">
        <v>13.734</v>
      </c>
      <c r="E239" s="6">
        <v>45.17</v>
      </c>
      <c r="F239" s="6">
        <v>10.194000000000001</v>
      </c>
      <c r="G239" s="6">
        <v>8.7919999999999998</v>
      </c>
      <c r="H239" s="6">
        <v>4.0090000000000003</v>
      </c>
      <c r="I239" s="6">
        <v>81.899000000000001</v>
      </c>
      <c r="J239" s="6">
        <v>182</v>
      </c>
      <c r="K239" s="6">
        <v>-2.37</v>
      </c>
      <c r="L239" s="6">
        <v>36.5</v>
      </c>
      <c r="M239" s="7">
        <v>5.0999999999999996</v>
      </c>
    </row>
    <row r="240" spans="1:13" ht="13.8" x14ac:dyDescent="0.25">
      <c r="A240" s="8" t="s">
        <v>24</v>
      </c>
      <c r="B240" s="8" t="s">
        <v>22</v>
      </c>
      <c r="C240" s="9">
        <v>46058</v>
      </c>
      <c r="D240" s="6">
        <v>27</v>
      </c>
      <c r="E240" s="6">
        <v>68.5</v>
      </c>
      <c r="F240" s="6">
        <v>17.5</v>
      </c>
      <c r="G240" s="6">
        <v>12.7</v>
      </c>
      <c r="H240" s="6">
        <v>4.8</v>
      </c>
      <c r="I240" s="6">
        <v>130.5</v>
      </c>
      <c r="J240" s="6">
        <v>180.2</v>
      </c>
      <c r="K240" s="6">
        <v>-0.28999999999999998</v>
      </c>
      <c r="L240" s="6">
        <v>112.5</v>
      </c>
      <c r="M240" s="7">
        <f t="shared" ref="M240:M258" si="13">E240/G240</f>
        <v>5.393700787401575</v>
      </c>
    </row>
    <row r="241" spans="1:13" ht="13.8" x14ac:dyDescent="0.25">
      <c r="A241" s="8" t="s">
        <v>28</v>
      </c>
      <c r="B241" s="8" t="s">
        <v>29</v>
      </c>
      <c r="C241" s="9">
        <v>46058</v>
      </c>
      <c r="D241" s="6">
        <v>18.899999999999999</v>
      </c>
      <c r="E241" s="6">
        <v>50</v>
      </c>
      <c r="F241" s="6">
        <v>10.6</v>
      </c>
      <c r="G241" s="6">
        <v>10.4</v>
      </c>
      <c r="H241" s="6">
        <v>4.5999999999999996</v>
      </c>
      <c r="I241" s="6">
        <v>94.5</v>
      </c>
      <c r="J241" s="6">
        <v>193</v>
      </c>
      <c r="K241" s="6">
        <v>-2.13</v>
      </c>
      <c r="L241" s="6">
        <v>48</v>
      </c>
      <c r="M241" s="7">
        <f t="shared" si="13"/>
        <v>4.8076923076923075</v>
      </c>
    </row>
    <row r="242" spans="1:13" ht="13.8" x14ac:dyDescent="0.25">
      <c r="A242" s="8" t="s">
        <v>36</v>
      </c>
      <c r="B242" s="8" t="s">
        <v>26</v>
      </c>
      <c r="C242" s="9">
        <v>46058</v>
      </c>
      <c r="D242" s="6">
        <v>24.2</v>
      </c>
      <c r="E242" s="6">
        <v>59.4</v>
      </c>
      <c r="F242" s="6">
        <v>12.1</v>
      </c>
      <c r="G242" s="6">
        <v>10.9</v>
      </c>
      <c r="H242" s="6">
        <v>4.7</v>
      </c>
      <c r="I242" s="6">
        <v>111.3</v>
      </c>
      <c r="J242" s="6">
        <v>191</v>
      </c>
      <c r="K242" s="6">
        <v>-1.27</v>
      </c>
      <c r="L242" s="6">
        <v>81</v>
      </c>
      <c r="M242" s="7">
        <f t="shared" si="13"/>
        <v>5.4495412844036695</v>
      </c>
    </row>
    <row r="243" spans="1:13" ht="13.8" x14ac:dyDescent="0.25">
      <c r="A243" s="8" t="s">
        <v>40</v>
      </c>
      <c r="B243" s="8" t="s">
        <v>29</v>
      </c>
      <c r="C243" s="9">
        <v>46058</v>
      </c>
      <c r="D243" s="6">
        <v>31.1</v>
      </c>
      <c r="E243" s="6">
        <v>66</v>
      </c>
      <c r="F243" s="6">
        <v>14.9</v>
      </c>
      <c r="G243" s="6">
        <v>11.7</v>
      </c>
      <c r="H243" s="6">
        <v>4.7</v>
      </c>
      <c r="I243" s="6">
        <v>128.4</v>
      </c>
      <c r="J243" s="6">
        <v>193</v>
      </c>
      <c r="K243" s="6">
        <v>-0.28000000000000003</v>
      </c>
      <c r="L243" s="6">
        <v>121</v>
      </c>
      <c r="M243" s="7">
        <f t="shared" si="13"/>
        <v>5.6410256410256414</v>
      </c>
    </row>
    <row r="244" spans="1:13" ht="13.8" x14ac:dyDescent="0.25">
      <c r="A244" s="8" t="s">
        <v>42</v>
      </c>
      <c r="B244" s="8" t="s">
        <v>15</v>
      </c>
      <c r="C244" s="9">
        <v>46058</v>
      </c>
      <c r="D244" s="6">
        <v>16.399999999999999</v>
      </c>
      <c r="E244" s="6">
        <v>43.5</v>
      </c>
      <c r="F244" s="6">
        <v>9.9</v>
      </c>
      <c r="G244" s="6">
        <v>9</v>
      </c>
      <c r="H244" s="6">
        <v>3.8</v>
      </c>
      <c r="I244" s="6">
        <v>82.6</v>
      </c>
      <c r="J244" s="6">
        <v>176.8</v>
      </c>
      <c r="K244" s="6">
        <v>-1.7</v>
      </c>
      <c r="L244" s="6">
        <v>60</v>
      </c>
      <c r="M244" s="7">
        <f t="shared" si="13"/>
        <v>4.833333333333333</v>
      </c>
    </row>
    <row r="245" spans="1:13" ht="13.8" x14ac:dyDescent="0.25">
      <c r="A245" s="2" t="s">
        <v>52</v>
      </c>
      <c r="B245" s="2" t="s">
        <v>18</v>
      </c>
      <c r="C245" s="12">
        <v>46058</v>
      </c>
      <c r="D245" s="4">
        <v>21.6</v>
      </c>
      <c r="E245" s="4">
        <v>64.3</v>
      </c>
      <c r="F245" s="4">
        <v>12.6</v>
      </c>
      <c r="G245" s="4">
        <v>11.5</v>
      </c>
      <c r="H245" s="4">
        <v>4.5999999999999996</v>
      </c>
      <c r="I245" s="4">
        <v>114.8</v>
      </c>
      <c r="J245" s="4">
        <v>189.5</v>
      </c>
      <c r="K245" s="4">
        <v>-1.58</v>
      </c>
      <c r="L245" s="4">
        <v>68.5</v>
      </c>
      <c r="M245" s="7">
        <f t="shared" si="13"/>
        <v>5.5913043478260871</v>
      </c>
    </row>
    <row r="246" spans="1:13" ht="13.8" x14ac:dyDescent="0.25">
      <c r="A246" s="10" t="s">
        <v>54</v>
      </c>
      <c r="B246" s="8" t="s">
        <v>26</v>
      </c>
      <c r="C246" s="5">
        <v>46058</v>
      </c>
      <c r="D246" s="6">
        <v>22</v>
      </c>
      <c r="E246" s="6">
        <v>47.2</v>
      </c>
      <c r="F246" s="6">
        <v>10.9</v>
      </c>
      <c r="G246" s="6">
        <v>9.6</v>
      </c>
      <c r="H246" s="6">
        <v>4.5999999999999996</v>
      </c>
      <c r="I246" s="6">
        <v>94.3</v>
      </c>
      <c r="J246" s="6">
        <v>193.2</v>
      </c>
      <c r="K246" s="6">
        <v>-1.75</v>
      </c>
      <c r="L246" s="6">
        <v>63</v>
      </c>
      <c r="M246" s="7">
        <f t="shared" si="13"/>
        <v>4.916666666666667</v>
      </c>
    </row>
    <row r="247" spans="1:13" ht="13.8" x14ac:dyDescent="0.25">
      <c r="A247" s="19" t="s">
        <v>55</v>
      </c>
      <c r="B247" s="2" t="s">
        <v>29</v>
      </c>
      <c r="C247" s="12">
        <v>46058</v>
      </c>
      <c r="D247" s="4">
        <v>31.6</v>
      </c>
      <c r="E247" s="4">
        <v>62</v>
      </c>
      <c r="F247" s="4">
        <v>15.6</v>
      </c>
      <c r="G247" s="4">
        <v>11.3</v>
      </c>
      <c r="H247" s="4">
        <v>4.7</v>
      </c>
      <c r="I247" s="4">
        <v>125.1</v>
      </c>
      <c r="J247" s="4">
        <v>195.5</v>
      </c>
      <c r="K247" s="4">
        <v>-0.39</v>
      </c>
      <c r="L247" s="4">
        <v>118</v>
      </c>
      <c r="M247" s="7">
        <f t="shared" si="13"/>
        <v>5.4867256637168138</v>
      </c>
    </row>
    <row r="248" spans="1:13" ht="13.8" x14ac:dyDescent="0.25">
      <c r="A248" s="8" t="s">
        <v>58</v>
      </c>
      <c r="B248" s="2" t="s">
        <v>34</v>
      </c>
      <c r="C248" s="5">
        <v>46058</v>
      </c>
      <c r="D248" s="4">
        <v>19.7</v>
      </c>
      <c r="E248" s="4">
        <v>42.7</v>
      </c>
      <c r="F248" s="4">
        <v>9.6999999999999993</v>
      </c>
      <c r="G248" s="4">
        <v>8.6</v>
      </c>
      <c r="H248" s="4">
        <v>4.0999999999999996</v>
      </c>
      <c r="I248" s="4">
        <v>84.9</v>
      </c>
      <c r="J248" s="4">
        <v>186</v>
      </c>
      <c r="K248" s="4">
        <v>-1.7</v>
      </c>
      <c r="L248" s="4">
        <v>63.5</v>
      </c>
      <c r="M248" s="7">
        <f t="shared" si="13"/>
        <v>4.9651162790697683</v>
      </c>
    </row>
    <row r="249" spans="1:13" ht="13.8" x14ac:dyDescent="0.25">
      <c r="A249" s="11" t="s">
        <v>59</v>
      </c>
      <c r="B249" s="2" t="s">
        <v>34</v>
      </c>
      <c r="C249" s="5">
        <v>46058</v>
      </c>
      <c r="D249" s="4">
        <v>15.9</v>
      </c>
      <c r="E249" s="4">
        <v>44.7</v>
      </c>
      <c r="F249" s="4">
        <v>8.9</v>
      </c>
      <c r="G249" s="4">
        <v>9.3000000000000007</v>
      </c>
      <c r="H249" s="4">
        <v>3.8</v>
      </c>
      <c r="I249" s="4">
        <v>82.6</v>
      </c>
      <c r="J249" s="4">
        <v>175.7</v>
      </c>
      <c r="K249" s="4">
        <v>-1.7</v>
      </c>
      <c r="L249" s="4">
        <v>59</v>
      </c>
      <c r="M249" s="7">
        <f t="shared" si="13"/>
        <v>4.806451612903226</v>
      </c>
    </row>
    <row r="250" spans="1:13" ht="13.8" x14ac:dyDescent="0.25">
      <c r="A250" s="11" t="s">
        <v>61</v>
      </c>
      <c r="B250" s="2" t="s">
        <v>26</v>
      </c>
      <c r="C250" s="5">
        <v>46058</v>
      </c>
      <c r="D250" s="4">
        <v>15.4</v>
      </c>
      <c r="E250" s="4">
        <v>46.9</v>
      </c>
      <c r="F250" s="4">
        <v>9</v>
      </c>
      <c r="G250" s="4">
        <v>9.6</v>
      </c>
      <c r="H250" s="4">
        <v>4.0999999999999996</v>
      </c>
      <c r="I250" s="4">
        <v>85</v>
      </c>
      <c r="J250" s="4">
        <v>177.3</v>
      </c>
      <c r="K250" s="4">
        <v>-2</v>
      </c>
      <c r="L250" s="4">
        <v>49.5</v>
      </c>
      <c r="M250" s="7">
        <f t="shared" si="13"/>
        <v>4.885416666666667</v>
      </c>
    </row>
    <row r="251" spans="1:13" ht="13.8" x14ac:dyDescent="0.25">
      <c r="A251" s="11" t="s">
        <v>80</v>
      </c>
      <c r="B251" s="2" t="s">
        <v>22</v>
      </c>
      <c r="C251" s="5">
        <v>46058</v>
      </c>
      <c r="D251" s="4">
        <v>21.4</v>
      </c>
      <c r="E251" s="4">
        <v>56</v>
      </c>
      <c r="F251" s="4">
        <v>13.1</v>
      </c>
      <c r="G251" s="4">
        <v>10.3</v>
      </c>
      <c r="H251" s="4">
        <v>4.2</v>
      </c>
      <c r="I251" s="4">
        <v>104.9</v>
      </c>
      <c r="J251" s="4">
        <v>170</v>
      </c>
      <c r="K251" s="4">
        <v>-0.5</v>
      </c>
      <c r="L251" s="4">
        <v>99</v>
      </c>
      <c r="M251" s="7">
        <f t="shared" si="13"/>
        <v>5.4368932038834945</v>
      </c>
    </row>
    <row r="252" spans="1:13" ht="13.8" x14ac:dyDescent="0.25">
      <c r="A252" s="8" t="s">
        <v>23</v>
      </c>
      <c r="B252" s="8" t="s">
        <v>15</v>
      </c>
      <c r="C252" s="9">
        <v>46065</v>
      </c>
      <c r="D252" s="6">
        <v>13.6</v>
      </c>
      <c r="E252" s="6">
        <v>41.7</v>
      </c>
      <c r="F252" s="6">
        <v>9.1999999999999993</v>
      </c>
      <c r="G252" s="6">
        <v>7.9</v>
      </c>
      <c r="H252" s="6">
        <v>3.8</v>
      </c>
      <c r="I252" s="6">
        <v>76.2</v>
      </c>
      <c r="J252" s="6">
        <v>182.2</v>
      </c>
      <c r="K252" s="6">
        <v>-2.4</v>
      </c>
      <c r="L252" s="6">
        <v>36.5</v>
      </c>
      <c r="M252" s="7">
        <f t="shared" si="13"/>
        <v>5.2784810126582276</v>
      </c>
    </row>
    <row r="253" spans="1:13" ht="13.8" x14ac:dyDescent="0.25">
      <c r="A253" s="8" t="s">
        <v>41</v>
      </c>
      <c r="B253" s="8" t="s">
        <v>22</v>
      </c>
      <c r="C253" s="9">
        <v>46065</v>
      </c>
      <c r="D253" s="6">
        <v>35.4</v>
      </c>
      <c r="E253" s="6">
        <v>62.5</v>
      </c>
      <c r="F253" s="6">
        <v>18.600000000000001</v>
      </c>
      <c r="G253" s="6">
        <v>13.4</v>
      </c>
      <c r="H253" s="6">
        <v>4.7</v>
      </c>
      <c r="I253" s="6">
        <v>134.6</v>
      </c>
      <c r="J253" s="6">
        <v>179.1</v>
      </c>
      <c r="K253" s="6">
        <v>1.28</v>
      </c>
      <c r="L253" s="6">
        <v>169.5</v>
      </c>
      <c r="M253" s="7">
        <f t="shared" si="13"/>
        <v>4.6641791044776122</v>
      </c>
    </row>
    <row r="254" spans="1:13" ht="13.8" x14ac:dyDescent="0.25">
      <c r="A254" s="19" t="s">
        <v>66</v>
      </c>
      <c r="B254" s="2" t="s">
        <v>20</v>
      </c>
      <c r="C254" s="5">
        <v>46065</v>
      </c>
      <c r="D254" s="4">
        <v>10.4</v>
      </c>
      <c r="E254" s="4">
        <v>41.3</v>
      </c>
      <c r="F254" s="4">
        <v>9.1</v>
      </c>
      <c r="G254" s="4">
        <v>7.8</v>
      </c>
      <c r="H254" s="4">
        <v>3.6</v>
      </c>
      <c r="I254" s="4">
        <v>72.2</v>
      </c>
      <c r="J254" s="4">
        <v>168</v>
      </c>
      <c r="K254" s="4">
        <v>-2.4</v>
      </c>
      <c r="L254" s="4">
        <v>31.5</v>
      </c>
      <c r="M254" s="7">
        <f t="shared" si="13"/>
        <v>5.2948717948717947</v>
      </c>
    </row>
    <row r="255" spans="1:13" ht="13.8" x14ac:dyDescent="0.25">
      <c r="A255" s="19" t="s">
        <v>73</v>
      </c>
      <c r="B255" s="2" t="s">
        <v>26</v>
      </c>
      <c r="C255" s="5">
        <v>46065</v>
      </c>
      <c r="D255" s="4">
        <v>20.7</v>
      </c>
      <c r="E255" s="4">
        <v>50.4</v>
      </c>
      <c r="F255" s="4">
        <v>10.6</v>
      </c>
      <c r="G255" s="4">
        <v>9.8000000000000007</v>
      </c>
      <c r="H255" s="4">
        <v>4.3</v>
      </c>
      <c r="I255" s="4">
        <v>95.7</v>
      </c>
      <c r="J255" s="4">
        <v>187</v>
      </c>
      <c r="K255" s="4">
        <v>-1.5</v>
      </c>
      <c r="L255" s="4">
        <v>70</v>
      </c>
      <c r="M255" s="7">
        <f t="shared" si="13"/>
        <v>5.1428571428571423</v>
      </c>
    </row>
    <row r="256" spans="1:13" ht="13.8" x14ac:dyDescent="0.25">
      <c r="A256" s="19" t="s">
        <v>75</v>
      </c>
      <c r="B256" s="2" t="s">
        <v>39</v>
      </c>
      <c r="C256" s="5">
        <v>46065</v>
      </c>
      <c r="D256" s="4">
        <v>12.3</v>
      </c>
      <c r="E256" s="4">
        <v>39.299999999999997</v>
      </c>
      <c r="F256" s="4">
        <v>7.9</v>
      </c>
      <c r="G256" s="4">
        <v>8.1</v>
      </c>
      <c r="H256" s="4">
        <v>3.7</v>
      </c>
      <c r="I256" s="4">
        <v>71.3</v>
      </c>
      <c r="J256" s="4">
        <v>172.8</v>
      </c>
      <c r="K256" s="4">
        <v>-2.2999999999999998</v>
      </c>
      <c r="L256" s="4">
        <v>36.5</v>
      </c>
      <c r="M256" s="7">
        <f t="shared" si="13"/>
        <v>4.8518518518518521</v>
      </c>
    </row>
    <row r="257" spans="1:13" ht="13.8" x14ac:dyDescent="0.25">
      <c r="A257" s="19" t="s">
        <v>79</v>
      </c>
      <c r="B257" s="2" t="s">
        <v>20</v>
      </c>
      <c r="C257" s="5">
        <v>46065</v>
      </c>
      <c r="D257" s="4">
        <v>9.3000000000000007</v>
      </c>
      <c r="E257" s="4">
        <v>39.9</v>
      </c>
      <c r="F257" s="4">
        <v>8.6999999999999993</v>
      </c>
      <c r="G257" s="4">
        <v>8.1999999999999993</v>
      </c>
      <c r="H257" s="4">
        <v>3.4</v>
      </c>
      <c r="I257" s="4">
        <v>69.599999999999994</v>
      </c>
      <c r="J257" s="4">
        <v>164.5</v>
      </c>
      <c r="K257" s="4">
        <v>-2.5</v>
      </c>
      <c r="L257" s="4">
        <v>28</v>
      </c>
      <c r="M257" s="7">
        <f t="shared" si="13"/>
        <v>4.8658536585365857</v>
      </c>
    </row>
    <row r="258" spans="1:13" ht="13.8" x14ac:dyDescent="0.25">
      <c r="A258" s="19" t="s">
        <v>81</v>
      </c>
      <c r="B258" s="2" t="s">
        <v>29</v>
      </c>
      <c r="C258" s="5">
        <v>46065</v>
      </c>
      <c r="D258" s="4">
        <v>23.5</v>
      </c>
      <c r="E258" s="4">
        <v>48.1</v>
      </c>
      <c r="F258" s="4">
        <v>11.6</v>
      </c>
      <c r="G258" s="4">
        <v>10.1</v>
      </c>
      <c r="H258" s="4">
        <v>4.3</v>
      </c>
      <c r="I258" s="4">
        <v>97.6</v>
      </c>
      <c r="J258" s="4">
        <v>190</v>
      </c>
      <c r="K258" s="4">
        <v>-1.2</v>
      </c>
      <c r="L258" s="4">
        <v>83</v>
      </c>
      <c r="M258" s="7">
        <f t="shared" si="13"/>
        <v>4.7623762376237631</v>
      </c>
    </row>
    <row r="259" spans="1:13" ht="13.8" x14ac:dyDescent="0.25">
      <c r="A259" s="11" t="s">
        <v>82</v>
      </c>
      <c r="B259" s="2" t="s">
        <v>26</v>
      </c>
      <c r="C259" s="5">
        <v>46065</v>
      </c>
      <c r="D259" s="4">
        <v>11.4</v>
      </c>
      <c r="E259" s="4">
        <v>47</v>
      </c>
      <c r="F259" s="4">
        <v>10.199999999999999</v>
      </c>
      <c r="G259" s="4">
        <v>9.6999999999999993</v>
      </c>
      <c r="H259" s="4">
        <v>3.8</v>
      </c>
      <c r="I259" s="4">
        <v>82.2</v>
      </c>
      <c r="J259" s="4">
        <v>175.2</v>
      </c>
      <c r="K259" s="4">
        <v>-2.5</v>
      </c>
      <c r="L259" s="4">
        <v>31.5</v>
      </c>
      <c r="M259" s="20">
        <v>4.9000000000000004</v>
      </c>
    </row>
    <row r="260" spans="1:13" ht="13.8" x14ac:dyDescent="0.25">
      <c r="A260" s="19" t="s">
        <v>83</v>
      </c>
      <c r="B260" s="2" t="s">
        <v>26</v>
      </c>
      <c r="C260" s="5">
        <v>46065</v>
      </c>
      <c r="D260" s="4">
        <v>17.3</v>
      </c>
      <c r="E260" s="4">
        <v>51.9</v>
      </c>
      <c r="F260" s="4">
        <v>12.1</v>
      </c>
      <c r="G260" s="4">
        <v>9.8000000000000007</v>
      </c>
      <c r="H260" s="4">
        <v>4.2</v>
      </c>
      <c r="I260" s="4">
        <v>95.3</v>
      </c>
      <c r="J260" s="4">
        <v>180.6</v>
      </c>
      <c r="K260" s="4">
        <v>-1.8</v>
      </c>
      <c r="L260" s="4">
        <v>58.5</v>
      </c>
      <c r="M260" s="7">
        <f>E260/G260</f>
        <v>5.2959183673469381</v>
      </c>
    </row>
    <row r="261" spans="1:13" ht="13.8" x14ac:dyDescent="0.25">
      <c r="A261" s="8" t="s">
        <v>31</v>
      </c>
      <c r="B261" s="8" t="s">
        <v>26</v>
      </c>
      <c r="C261" s="9">
        <v>46100</v>
      </c>
      <c r="D261" s="6">
        <v>15.3</v>
      </c>
      <c r="E261" s="6">
        <v>51.1</v>
      </c>
      <c r="F261" s="6">
        <v>10.199999999999999</v>
      </c>
      <c r="G261" s="6">
        <v>10.6</v>
      </c>
      <c r="H261" s="6">
        <v>4.3</v>
      </c>
      <c r="I261" s="6">
        <v>91.5</v>
      </c>
      <c r="J261" s="6">
        <v>186</v>
      </c>
      <c r="K261" s="6">
        <v>-2.2999999999999998</v>
      </c>
      <c r="L261" s="6">
        <v>40.5</v>
      </c>
      <c r="M261" s="7">
        <f>E261/G261</f>
        <v>4.8207547169811322</v>
      </c>
    </row>
    <row r="262" spans="1:13" ht="13.8" x14ac:dyDescent="0.25">
      <c r="A262" s="8" t="s">
        <v>32</v>
      </c>
      <c r="B262" s="8" t="s">
        <v>26</v>
      </c>
      <c r="C262" s="9">
        <v>46100</v>
      </c>
      <c r="D262" s="6">
        <v>19.3</v>
      </c>
      <c r="E262" s="6">
        <v>49.9</v>
      </c>
      <c r="F262" s="6">
        <v>11</v>
      </c>
      <c r="G262" s="6">
        <v>10.1</v>
      </c>
      <c r="H262" s="6">
        <v>4.2</v>
      </c>
      <c r="I262" s="6">
        <v>94.5</v>
      </c>
      <c r="J262" s="6">
        <v>181</v>
      </c>
      <c r="K262" s="6">
        <v>-1.45</v>
      </c>
      <c r="L262" s="6">
        <v>69</v>
      </c>
      <c r="M262" s="7">
        <v>5</v>
      </c>
    </row>
    <row r="263" spans="1:13" ht="13.8" x14ac:dyDescent="0.25">
      <c r="A263" s="8" t="s">
        <v>37</v>
      </c>
      <c r="B263" s="8" t="s">
        <v>34</v>
      </c>
      <c r="C263" s="9">
        <v>46100</v>
      </c>
      <c r="D263" s="6">
        <v>11.9</v>
      </c>
      <c r="E263" s="6">
        <v>44.4</v>
      </c>
      <c r="F263" s="6">
        <v>9.6999999999999993</v>
      </c>
      <c r="G263" s="6">
        <v>8.3000000000000007</v>
      </c>
      <c r="H263" s="6">
        <v>3.8</v>
      </c>
      <c r="I263" s="6">
        <v>78.099999999999994</v>
      </c>
      <c r="J263" s="6">
        <v>173.7</v>
      </c>
      <c r="K263" s="6">
        <v>-2.4</v>
      </c>
      <c r="L263" s="6">
        <v>34.5</v>
      </c>
      <c r="M263" s="7">
        <v>5.4</v>
      </c>
    </row>
    <row r="264" spans="1:13" ht="13.8" x14ac:dyDescent="0.25">
      <c r="A264" s="8" t="s">
        <v>51</v>
      </c>
      <c r="B264" s="8" t="s">
        <v>34</v>
      </c>
      <c r="C264" s="9">
        <v>46100</v>
      </c>
      <c r="D264" s="6">
        <v>15.4</v>
      </c>
      <c r="E264" s="6">
        <v>45.5</v>
      </c>
      <c r="F264" s="6">
        <v>9.9</v>
      </c>
      <c r="G264" s="6">
        <v>7.8</v>
      </c>
      <c r="H264" s="6">
        <v>3.9</v>
      </c>
      <c r="I264" s="6">
        <v>82.6</v>
      </c>
      <c r="J264" s="6">
        <v>172.3</v>
      </c>
      <c r="K264" s="6">
        <v>-1.8</v>
      </c>
      <c r="L264" s="6">
        <v>55.5</v>
      </c>
      <c r="M264" s="7">
        <f>E264/G264</f>
        <v>5.833333333333333</v>
      </c>
    </row>
    <row r="265" spans="1:13" ht="13.8" x14ac:dyDescent="0.25">
      <c r="A265" s="19" t="s">
        <v>63</v>
      </c>
      <c r="B265" s="2" t="s">
        <v>16</v>
      </c>
      <c r="C265" s="5">
        <v>46100</v>
      </c>
      <c r="D265" s="4">
        <v>18.3</v>
      </c>
      <c r="E265" s="4">
        <v>45.7</v>
      </c>
      <c r="F265" s="4">
        <v>9</v>
      </c>
      <c r="G265" s="4">
        <v>9</v>
      </c>
      <c r="H265" s="4">
        <v>4.2</v>
      </c>
      <c r="I265" s="4">
        <v>86.3</v>
      </c>
      <c r="J265" s="4">
        <v>181.5</v>
      </c>
      <c r="K265" s="4">
        <v>-1.73</v>
      </c>
      <c r="L265" s="4">
        <v>60</v>
      </c>
      <c r="M265" s="7">
        <f>E265/G265</f>
        <v>5.0777777777777784</v>
      </c>
    </row>
    <row r="266" spans="1:13" ht="13.8" x14ac:dyDescent="0.25">
      <c r="A266" s="19" t="s">
        <v>72</v>
      </c>
      <c r="B266" s="2" t="s">
        <v>18</v>
      </c>
      <c r="C266" s="5">
        <v>46100</v>
      </c>
      <c r="D266" s="4">
        <v>21.2</v>
      </c>
      <c r="E266" s="4">
        <v>50.5</v>
      </c>
      <c r="F266" s="4">
        <v>12.8</v>
      </c>
      <c r="G266" s="4">
        <v>10.3</v>
      </c>
      <c r="H266" s="4">
        <v>4.2</v>
      </c>
      <c r="I266" s="4">
        <v>98.9</v>
      </c>
      <c r="J266" s="4">
        <v>176.3</v>
      </c>
      <c r="K266" s="4">
        <v>-0.9</v>
      </c>
      <c r="L266" s="4">
        <v>88.5</v>
      </c>
      <c r="M266" s="7">
        <f>E266/G266</f>
        <v>4.9029126213592233</v>
      </c>
    </row>
    <row r="267" spans="1:13" ht="13.8" x14ac:dyDescent="0.25">
      <c r="A267" s="8" t="s">
        <v>21</v>
      </c>
      <c r="B267" s="8" t="s">
        <v>22</v>
      </c>
      <c r="C267" s="9">
        <v>46107</v>
      </c>
      <c r="D267" s="6">
        <v>24.7</v>
      </c>
      <c r="E267" s="6">
        <v>65.8</v>
      </c>
      <c r="F267" s="6">
        <v>15.7</v>
      </c>
      <c r="G267" s="6">
        <v>12.5</v>
      </c>
      <c r="H267" s="6">
        <v>4.7</v>
      </c>
      <c r="I267" s="6">
        <v>123.4</v>
      </c>
      <c r="J267" s="6">
        <v>180</v>
      </c>
      <c r="K267" s="6">
        <v>-0.6</v>
      </c>
      <c r="L267" s="6">
        <v>101</v>
      </c>
      <c r="M267" s="7">
        <f>E267/G267</f>
        <v>5.2639999999999993</v>
      </c>
    </row>
    <row r="268" spans="1:13" ht="13.8" x14ac:dyDescent="0.25">
      <c r="A268" s="8" t="s">
        <v>24</v>
      </c>
      <c r="B268" s="8" t="s">
        <v>22</v>
      </c>
      <c r="C268" s="9">
        <v>46107</v>
      </c>
      <c r="D268" s="6">
        <v>26.2</v>
      </c>
      <c r="E268" s="6">
        <v>71.7</v>
      </c>
      <c r="F268" s="6">
        <v>18</v>
      </c>
      <c r="G268" s="6">
        <v>12.7</v>
      </c>
      <c r="H268" s="6">
        <v>5</v>
      </c>
      <c r="I268" s="6">
        <v>133.6</v>
      </c>
      <c r="J268" s="6">
        <v>180.2</v>
      </c>
      <c r="K268" s="6">
        <v>-0.5</v>
      </c>
      <c r="L268" s="6">
        <v>104.8</v>
      </c>
      <c r="M268" s="7">
        <v>5.7</v>
      </c>
    </row>
    <row r="269" spans="1:13" ht="13.8" x14ac:dyDescent="0.25">
      <c r="A269" s="8" t="s">
        <v>40</v>
      </c>
      <c r="B269" s="8" t="s">
        <v>29</v>
      </c>
      <c r="C269" s="9">
        <v>46107</v>
      </c>
      <c r="D269" s="6">
        <v>31</v>
      </c>
      <c r="E269" s="6">
        <v>69.599999999999994</v>
      </c>
      <c r="F269" s="6">
        <v>15.2</v>
      </c>
      <c r="G269" s="6">
        <v>11.7</v>
      </c>
      <c r="H269" s="6">
        <v>4.8</v>
      </c>
      <c r="I269" s="6">
        <v>132.4</v>
      </c>
      <c r="J269" s="6">
        <v>193</v>
      </c>
      <c r="K269" s="6">
        <v>-0.3</v>
      </c>
      <c r="L269" s="6">
        <v>119.5</v>
      </c>
      <c r="M269" s="7">
        <v>6</v>
      </c>
    </row>
    <row r="270" spans="1:13" ht="13.8" x14ac:dyDescent="0.25">
      <c r="A270" s="8" t="s">
        <v>43</v>
      </c>
      <c r="B270" s="8" t="s">
        <v>29</v>
      </c>
      <c r="C270" s="9">
        <v>46107</v>
      </c>
      <c r="D270" s="6">
        <v>20</v>
      </c>
      <c r="E270" s="6">
        <v>57.6</v>
      </c>
      <c r="F270" s="6">
        <v>12.5</v>
      </c>
      <c r="G270" s="6">
        <v>12.3</v>
      </c>
      <c r="H270" s="6">
        <v>4.7</v>
      </c>
      <c r="I270" s="6">
        <v>107</v>
      </c>
      <c r="J270" s="6">
        <v>193.8</v>
      </c>
      <c r="K270" s="6">
        <v>-1.95</v>
      </c>
      <c r="L270" s="6">
        <v>55.5</v>
      </c>
      <c r="M270" s="7">
        <f>E270/G270</f>
        <v>4.6829268292682924</v>
      </c>
    </row>
    <row r="271" spans="1:13" ht="13.8" x14ac:dyDescent="0.25">
      <c r="A271" s="8" t="s">
        <v>44</v>
      </c>
      <c r="B271" s="8" t="s">
        <v>39</v>
      </c>
      <c r="C271" s="9">
        <v>46107</v>
      </c>
      <c r="D271" s="6">
        <v>13.9</v>
      </c>
      <c r="E271" s="6">
        <v>47.5</v>
      </c>
      <c r="F271" s="6">
        <v>10.1</v>
      </c>
      <c r="G271" s="6">
        <v>9.4</v>
      </c>
      <c r="H271" s="6">
        <v>4.2</v>
      </c>
      <c r="I271" s="6">
        <v>85.1</v>
      </c>
      <c r="J271" s="6">
        <v>182.6</v>
      </c>
      <c r="K271" s="6">
        <v>-2.4</v>
      </c>
      <c r="L271" s="6">
        <v>35.5</v>
      </c>
      <c r="M271" s="7">
        <v>5</v>
      </c>
    </row>
    <row r="272" spans="1:13" ht="13.8" x14ac:dyDescent="0.25">
      <c r="A272" s="11" t="s">
        <v>66</v>
      </c>
      <c r="B272" s="2" t="s">
        <v>20</v>
      </c>
      <c r="C272" s="5">
        <v>46107</v>
      </c>
      <c r="D272" s="4">
        <v>10.199999999999999</v>
      </c>
      <c r="E272" s="4">
        <v>41.6</v>
      </c>
      <c r="F272" s="4">
        <v>9.1</v>
      </c>
      <c r="G272" s="4">
        <v>7.8</v>
      </c>
      <c r="H272" s="4">
        <v>3.6</v>
      </c>
      <c r="I272" s="4">
        <v>72.3</v>
      </c>
      <c r="J272" s="4">
        <v>168</v>
      </c>
      <c r="K272" s="4">
        <v>-2.5</v>
      </c>
      <c r="L272" s="4">
        <v>30</v>
      </c>
      <c r="M272" s="7">
        <f>E272/G272</f>
        <v>5.3333333333333339</v>
      </c>
    </row>
    <row r="273" spans="1:13" ht="13.8" x14ac:dyDescent="0.25">
      <c r="A273" s="11" t="s">
        <v>78</v>
      </c>
      <c r="B273" s="2" t="s">
        <v>16</v>
      </c>
      <c r="C273" s="5">
        <v>46107</v>
      </c>
      <c r="D273" s="4">
        <v>15.1</v>
      </c>
      <c r="E273" s="4">
        <v>47.4</v>
      </c>
      <c r="F273" s="4">
        <v>8.8000000000000007</v>
      </c>
      <c r="G273" s="4">
        <v>9.1999999999999993</v>
      </c>
      <c r="H273" s="4">
        <v>4.2</v>
      </c>
      <c r="I273" s="4">
        <v>84.8</v>
      </c>
      <c r="J273" s="4">
        <v>184</v>
      </c>
      <c r="K273" s="4">
        <v>-2.2999999999999998</v>
      </c>
      <c r="L273" s="4">
        <v>40</v>
      </c>
      <c r="M273" s="7">
        <f>E273/G273</f>
        <v>5.1521739130434785</v>
      </c>
    </row>
    <row r="274" spans="1:13" ht="13.8" x14ac:dyDescent="0.25">
      <c r="A274" s="11" t="s">
        <v>87</v>
      </c>
      <c r="B274" s="2" t="s">
        <v>26</v>
      </c>
      <c r="C274" s="12">
        <v>46107</v>
      </c>
      <c r="D274" s="4">
        <v>19.5</v>
      </c>
      <c r="E274" s="4">
        <v>48.6</v>
      </c>
      <c r="F274" s="4">
        <v>9.6</v>
      </c>
      <c r="G274" s="4">
        <v>10.8</v>
      </c>
      <c r="H274" s="4">
        <v>4.4000000000000004</v>
      </c>
      <c r="I274" s="4">
        <v>92.8</v>
      </c>
      <c r="J274" s="4">
        <v>186</v>
      </c>
      <c r="K274" s="4">
        <v>-1.77</v>
      </c>
      <c r="L274" s="4">
        <v>60</v>
      </c>
      <c r="M274" s="20">
        <v>4.4000000000000004</v>
      </c>
    </row>
    <row r="275" spans="1:13" ht="13.8" x14ac:dyDescent="0.25">
      <c r="A275" s="8" t="s">
        <v>47</v>
      </c>
      <c r="B275" s="8" t="s">
        <v>26</v>
      </c>
      <c r="C275" s="9">
        <v>46121</v>
      </c>
      <c r="D275" s="6">
        <v>18.399999999999999</v>
      </c>
      <c r="E275" s="6">
        <v>46.8</v>
      </c>
      <c r="F275" s="6">
        <v>11</v>
      </c>
      <c r="G275" s="6">
        <v>9.1999999999999993</v>
      </c>
      <c r="H275" s="6">
        <v>3.9</v>
      </c>
      <c r="I275" s="6">
        <v>89.4</v>
      </c>
      <c r="J275" s="6">
        <v>177.2</v>
      </c>
      <c r="K275" s="6">
        <v>-1.4</v>
      </c>
      <c r="L275" s="6">
        <v>71.5</v>
      </c>
      <c r="M275" s="7">
        <v>5.0999999999999996</v>
      </c>
    </row>
    <row r="276" spans="1:13" ht="13.8" x14ac:dyDescent="0.25">
      <c r="A276" s="19" t="s">
        <v>68</v>
      </c>
      <c r="B276" s="2" t="s">
        <v>39</v>
      </c>
      <c r="C276" s="5">
        <v>46121</v>
      </c>
      <c r="D276" s="4">
        <v>13.9</v>
      </c>
      <c r="E276" s="4">
        <v>46.2</v>
      </c>
      <c r="F276" s="4">
        <v>9.9</v>
      </c>
      <c r="G276" s="4">
        <v>8.4</v>
      </c>
      <c r="H276" s="4">
        <v>3.9</v>
      </c>
      <c r="I276" s="4">
        <v>82.3</v>
      </c>
      <c r="J276" s="4">
        <v>179</v>
      </c>
      <c r="K276" s="4">
        <v>-2.2000000000000002</v>
      </c>
      <c r="L276" s="4">
        <v>41.5</v>
      </c>
      <c r="M276" s="7">
        <f>E276/G276</f>
        <v>5.5</v>
      </c>
    </row>
    <row r="277" spans="1:13" ht="13.8" x14ac:dyDescent="0.25">
      <c r="A277" s="19" t="s">
        <v>69</v>
      </c>
      <c r="B277" s="2" t="s">
        <v>22</v>
      </c>
      <c r="C277" s="5">
        <v>46121</v>
      </c>
      <c r="D277" s="4">
        <v>25.95</v>
      </c>
      <c r="E277" s="4">
        <v>60.1</v>
      </c>
      <c r="F277" s="4">
        <v>14.54</v>
      </c>
      <c r="G277" s="4">
        <v>10.24</v>
      </c>
      <c r="H277" s="4">
        <v>4.7</v>
      </c>
      <c r="I277" s="4">
        <v>115.6</v>
      </c>
      <c r="J277" s="4">
        <v>184</v>
      </c>
      <c r="K277" s="4">
        <v>-0.75</v>
      </c>
      <c r="L277" s="4">
        <v>97.5</v>
      </c>
      <c r="M277" s="7">
        <v>5.9</v>
      </c>
    </row>
    <row r="278" spans="1:13" ht="13.8" x14ac:dyDescent="0.25">
      <c r="A278" s="11" t="s">
        <v>76</v>
      </c>
      <c r="B278" s="2" t="s">
        <v>18</v>
      </c>
      <c r="C278" s="5">
        <v>46121</v>
      </c>
      <c r="D278" s="4">
        <v>22.52</v>
      </c>
      <c r="E278" s="4">
        <v>50.05</v>
      </c>
      <c r="F278" s="4">
        <v>13.1</v>
      </c>
      <c r="G278" s="4">
        <v>9.85</v>
      </c>
      <c r="H278" s="4">
        <v>4.18</v>
      </c>
      <c r="I278" s="4">
        <v>99.7</v>
      </c>
      <c r="J278" s="4">
        <v>171.7</v>
      </c>
      <c r="K278" s="4">
        <v>-0.45</v>
      </c>
      <c r="L278" s="4">
        <v>101.5</v>
      </c>
      <c r="M278" s="7">
        <f>E278/G278</f>
        <v>5.0812182741116754</v>
      </c>
    </row>
    <row r="279" spans="1:13" ht="13.8" x14ac:dyDescent="0.25">
      <c r="A279" s="19" t="s">
        <v>85</v>
      </c>
      <c r="B279" s="2" t="s">
        <v>22</v>
      </c>
      <c r="C279" s="12">
        <v>46121</v>
      </c>
      <c r="D279" s="4">
        <v>26.9</v>
      </c>
      <c r="E279" s="4">
        <v>60.2</v>
      </c>
      <c r="F279" s="4">
        <v>15.4</v>
      </c>
      <c r="G279" s="4">
        <v>11.4</v>
      </c>
      <c r="H279" s="4">
        <v>4.5999999999999996</v>
      </c>
      <c r="I279" s="4">
        <v>118.5</v>
      </c>
      <c r="J279" s="4">
        <v>180.8</v>
      </c>
      <c r="K279" s="4">
        <v>-0.34</v>
      </c>
      <c r="L279" s="4">
        <v>111</v>
      </c>
      <c r="M279" s="7">
        <f>E279/G279</f>
        <v>5.2807017543859649</v>
      </c>
    </row>
    <row r="280" spans="1:13" ht="13.8" x14ac:dyDescent="0.25">
      <c r="A280" s="19" t="s">
        <v>91</v>
      </c>
      <c r="B280" s="2" t="s">
        <v>34</v>
      </c>
      <c r="C280" s="12">
        <v>46121</v>
      </c>
      <c r="D280" s="4">
        <v>16.7</v>
      </c>
      <c r="E280" s="4">
        <v>44.6</v>
      </c>
      <c r="F280" s="4">
        <v>9</v>
      </c>
      <c r="G280" s="4">
        <v>9</v>
      </c>
      <c r="H280" s="4">
        <v>3.9</v>
      </c>
      <c r="I280" s="4">
        <v>83.3</v>
      </c>
      <c r="J280" s="4">
        <v>180</v>
      </c>
      <c r="K280" s="4">
        <v>-1.8</v>
      </c>
      <c r="L280" s="4">
        <v>57</v>
      </c>
      <c r="M280" s="20">
        <v>5</v>
      </c>
    </row>
    <row r="281" spans="1:13" ht="13.8" x14ac:dyDescent="0.25">
      <c r="A281" s="19" t="s">
        <v>96</v>
      </c>
      <c r="B281" s="2" t="s">
        <v>26</v>
      </c>
      <c r="C281" s="12">
        <v>46121</v>
      </c>
      <c r="D281" s="4">
        <v>21.8</v>
      </c>
      <c r="E281" s="4">
        <v>48.2</v>
      </c>
      <c r="F281" s="4">
        <v>11.6</v>
      </c>
      <c r="G281" s="4">
        <v>10.5</v>
      </c>
      <c r="H281" s="4">
        <v>4.0999999999999996</v>
      </c>
      <c r="I281" s="4">
        <v>96.3</v>
      </c>
      <c r="J281" s="4">
        <v>185</v>
      </c>
      <c r="K281" s="4">
        <v>-1.2</v>
      </c>
      <c r="L281" s="4">
        <v>82</v>
      </c>
      <c r="M281" s="20">
        <v>4.5999999999999996</v>
      </c>
    </row>
    <row r="282" spans="1:13" ht="13.8" x14ac:dyDescent="0.25">
      <c r="A282" s="11" t="s">
        <v>56</v>
      </c>
      <c r="B282" s="2" t="s">
        <v>57</v>
      </c>
      <c r="C282" s="12">
        <v>46128</v>
      </c>
      <c r="D282" s="4">
        <v>27.4</v>
      </c>
      <c r="E282" s="4">
        <v>65.5</v>
      </c>
      <c r="F282" s="4">
        <v>13</v>
      </c>
      <c r="G282" s="4">
        <v>11</v>
      </c>
      <c r="H282" s="4">
        <v>4.7</v>
      </c>
      <c r="I282" s="4">
        <v>121.6</v>
      </c>
      <c r="J282" s="4">
        <v>194</v>
      </c>
      <c r="K282" s="4">
        <v>-0.88</v>
      </c>
      <c r="L282" s="4">
        <v>98</v>
      </c>
      <c r="M282" s="7">
        <v>5.9</v>
      </c>
    </row>
    <row r="283" spans="1:13" ht="13.8" x14ac:dyDescent="0.25">
      <c r="A283" s="8" t="s">
        <v>23</v>
      </c>
      <c r="B283" s="8" t="s">
        <v>15</v>
      </c>
      <c r="C283" s="9">
        <v>46133</v>
      </c>
      <c r="D283" s="6">
        <v>13.3</v>
      </c>
      <c r="E283" s="6">
        <v>44.5</v>
      </c>
      <c r="F283" s="6">
        <v>9.6999999999999993</v>
      </c>
      <c r="G283" s="6">
        <v>7.9</v>
      </c>
      <c r="H283" s="6">
        <v>3.9</v>
      </c>
      <c r="I283" s="6">
        <v>79.3</v>
      </c>
      <c r="J283" s="6">
        <v>182.2</v>
      </c>
      <c r="K283" s="6">
        <v>-2.4</v>
      </c>
      <c r="L283" s="6">
        <v>34</v>
      </c>
      <c r="M283" s="7">
        <f>E283/G283</f>
        <v>5.6329113924050631</v>
      </c>
    </row>
    <row r="284" spans="1:13" ht="13.8" x14ac:dyDescent="0.25">
      <c r="A284" s="8" t="s">
        <v>41</v>
      </c>
      <c r="B284" s="8" t="s">
        <v>22</v>
      </c>
      <c r="C284" s="9">
        <v>46133</v>
      </c>
      <c r="D284" s="6">
        <v>32.700000000000003</v>
      </c>
      <c r="E284" s="6">
        <v>61.3</v>
      </c>
      <c r="F284" s="6">
        <v>18.8</v>
      </c>
      <c r="G284" s="6">
        <v>13.4</v>
      </c>
      <c r="H284" s="6">
        <v>4.7</v>
      </c>
      <c r="I284" s="6">
        <v>131</v>
      </c>
      <c r="J284" s="6">
        <v>179.1</v>
      </c>
      <c r="K284" s="6">
        <v>0.78</v>
      </c>
      <c r="L284" s="6">
        <v>151</v>
      </c>
      <c r="M284" s="7">
        <f>E284/G284</f>
        <v>4.5746268656716413</v>
      </c>
    </row>
    <row r="285" spans="1:13" ht="13.8" x14ac:dyDescent="0.25">
      <c r="A285" s="8" t="s">
        <v>58</v>
      </c>
      <c r="B285" s="2" t="s">
        <v>34</v>
      </c>
      <c r="C285" s="5">
        <v>46133</v>
      </c>
      <c r="D285" s="4">
        <v>18.7</v>
      </c>
      <c r="E285" s="4">
        <v>42.6</v>
      </c>
      <c r="F285" s="4">
        <v>10.1</v>
      </c>
      <c r="G285" s="4">
        <v>8.6</v>
      </c>
      <c r="H285" s="4">
        <v>4.2</v>
      </c>
      <c r="I285" s="4">
        <v>84.2</v>
      </c>
      <c r="J285" s="4">
        <v>186</v>
      </c>
      <c r="K285" s="4">
        <v>-1.8</v>
      </c>
      <c r="L285" s="4">
        <v>57.5</v>
      </c>
      <c r="M285" s="7">
        <v>4.9000000000000004</v>
      </c>
    </row>
    <row r="286" spans="1:13" ht="13.8" x14ac:dyDescent="0.25">
      <c r="A286" s="19" t="s">
        <v>60</v>
      </c>
      <c r="B286" s="2" t="s">
        <v>29</v>
      </c>
      <c r="C286" s="5">
        <v>46133</v>
      </c>
      <c r="D286" s="4">
        <v>15.4</v>
      </c>
      <c r="E286" s="4">
        <v>58</v>
      </c>
      <c r="F286" s="4">
        <v>12.3</v>
      </c>
      <c r="G286" s="4">
        <v>10</v>
      </c>
      <c r="H286" s="4">
        <v>4.4000000000000004</v>
      </c>
      <c r="I286" s="4">
        <v>100.2</v>
      </c>
      <c r="J286" s="4">
        <v>185</v>
      </c>
      <c r="K286" s="4">
        <v>-2.2000000000000002</v>
      </c>
      <c r="L286" s="4">
        <v>42</v>
      </c>
      <c r="M286" s="7">
        <f>E286/G286</f>
        <v>5.8</v>
      </c>
    </row>
    <row r="287" spans="1:13" ht="13.8" x14ac:dyDescent="0.25">
      <c r="A287" s="19" t="s">
        <v>62</v>
      </c>
      <c r="B287" s="2" t="s">
        <v>18</v>
      </c>
      <c r="C287" s="5">
        <v>46133</v>
      </c>
      <c r="D287" s="4">
        <v>20.6</v>
      </c>
      <c r="E287" s="4">
        <v>54.1</v>
      </c>
      <c r="F287" s="4">
        <v>12.7</v>
      </c>
      <c r="G287" s="4">
        <v>9</v>
      </c>
      <c r="H287" s="4">
        <v>4.0999999999999996</v>
      </c>
      <c r="I287" s="4">
        <v>100.5</v>
      </c>
      <c r="J287" s="4">
        <v>175.3</v>
      </c>
      <c r="K287" s="4">
        <v>-0.9</v>
      </c>
      <c r="L287" s="4">
        <v>87</v>
      </c>
      <c r="M287" s="7">
        <v>6</v>
      </c>
    </row>
    <row r="288" spans="1:13" ht="13.8" x14ac:dyDescent="0.25">
      <c r="A288" s="19" t="s">
        <v>80</v>
      </c>
      <c r="B288" s="2" t="s">
        <v>22</v>
      </c>
      <c r="C288" s="5">
        <v>46133</v>
      </c>
      <c r="D288" s="4">
        <v>20.5</v>
      </c>
      <c r="E288" s="4">
        <v>55</v>
      </c>
      <c r="F288" s="4">
        <v>13.1</v>
      </c>
      <c r="G288" s="4">
        <v>10.199999999999999</v>
      </c>
      <c r="H288" s="4">
        <v>4.2</v>
      </c>
      <c r="I288" s="4">
        <v>103.1</v>
      </c>
      <c r="J288" s="4">
        <v>170</v>
      </c>
      <c r="K288" s="4">
        <v>-0.68</v>
      </c>
      <c r="L288" s="4">
        <v>92.5</v>
      </c>
      <c r="M288" s="7">
        <f t="shared" ref="M288:M296" si="14">E288/G288</f>
        <v>5.3921568627450984</v>
      </c>
    </row>
    <row r="289" spans="1:13" ht="13.8" x14ac:dyDescent="0.25">
      <c r="A289" s="11" t="s">
        <v>19</v>
      </c>
      <c r="B289" s="2" t="s">
        <v>20</v>
      </c>
      <c r="C289" s="5">
        <v>46133</v>
      </c>
      <c r="D289" s="4">
        <v>11.9</v>
      </c>
      <c r="E289" s="4">
        <v>44.1</v>
      </c>
      <c r="F289" s="4">
        <v>9.1</v>
      </c>
      <c r="G289" s="4">
        <v>8.1999999999999993</v>
      </c>
      <c r="H289" s="4">
        <v>3.7</v>
      </c>
      <c r="I289" s="4">
        <v>77</v>
      </c>
      <c r="J289" s="4">
        <v>172.3</v>
      </c>
      <c r="K289" s="4">
        <v>-2.2999999999999998</v>
      </c>
      <c r="L289" s="4">
        <v>37</v>
      </c>
      <c r="M289" s="7">
        <f t="shared" si="14"/>
        <v>5.3780487804878057</v>
      </c>
    </row>
    <row r="290" spans="1:13" ht="13.8" x14ac:dyDescent="0.25">
      <c r="A290" s="19" t="s">
        <v>67</v>
      </c>
      <c r="B290" s="2" t="s">
        <v>22</v>
      </c>
      <c r="C290" s="5">
        <v>46135</v>
      </c>
      <c r="D290" s="4">
        <v>25</v>
      </c>
      <c r="E290" s="4">
        <v>55</v>
      </c>
      <c r="F290" s="4">
        <v>13.4</v>
      </c>
      <c r="G290" s="4">
        <v>11.3</v>
      </c>
      <c r="H290" s="4">
        <v>4.3</v>
      </c>
      <c r="I290" s="4">
        <v>109</v>
      </c>
      <c r="J290" s="4">
        <v>177</v>
      </c>
      <c r="K290" s="4">
        <v>-0.21</v>
      </c>
      <c r="L290" s="4">
        <v>113.5</v>
      </c>
      <c r="M290" s="7">
        <f t="shared" si="14"/>
        <v>4.8672566371681416</v>
      </c>
    </row>
    <row r="291" spans="1:13" ht="13.8" x14ac:dyDescent="0.25">
      <c r="A291" s="8" t="s">
        <v>28</v>
      </c>
      <c r="B291" s="8" t="s">
        <v>29</v>
      </c>
      <c r="C291" s="9">
        <v>46140</v>
      </c>
      <c r="D291" s="6">
        <v>19.600000000000001</v>
      </c>
      <c r="E291" s="6">
        <v>50.1</v>
      </c>
      <c r="F291" s="6">
        <v>10.5</v>
      </c>
      <c r="G291" s="6">
        <v>10.4</v>
      </c>
      <c r="H291" s="6">
        <v>4.5999999999999996</v>
      </c>
      <c r="I291" s="6">
        <v>95.3</v>
      </c>
      <c r="J291" s="6">
        <v>193</v>
      </c>
      <c r="K291" s="6">
        <v>-2</v>
      </c>
      <c r="L291" s="6">
        <v>52.5</v>
      </c>
      <c r="M291" s="7">
        <f t="shared" si="14"/>
        <v>4.8173076923076925</v>
      </c>
    </row>
    <row r="292" spans="1:13" ht="13.8" x14ac:dyDescent="0.25">
      <c r="A292" s="8" t="s">
        <v>33</v>
      </c>
      <c r="B292" s="8" t="s">
        <v>34</v>
      </c>
      <c r="C292" s="9">
        <v>46140</v>
      </c>
      <c r="D292" s="6">
        <v>14.9</v>
      </c>
      <c r="E292" s="6">
        <v>41.5</v>
      </c>
      <c r="F292" s="6">
        <v>7.8</v>
      </c>
      <c r="G292" s="6">
        <v>8.4</v>
      </c>
      <c r="H292" s="6">
        <v>3.9</v>
      </c>
      <c r="I292" s="6">
        <v>76.599999999999994</v>
      </c>
      <c r="J292" s="6">
        <v>182.6</v>
      </c>
      <c r="K292" s="6">
        <v>-2.19</v>
      </c>
      <c r="L292" s="6">
        <v>43</v>
      </c>
      <c r="M292" s="7">
        <f t="shared" si="14"/>
        <v>4.9404761904761907</v>
      </c>
    </row>
    <row r="293" spans="1:13" ht="13.8" x14ac:dyDescent="0.25">
      <c r="A293" s="8" t="s">
        <v>49</v>
      </c>
      <c r="B293" s="8" t="s">
        <v>26</v>
      </c>
      <c r="C293" s="9">
        <v>46140</v>
      </c>
      <c r="D293" s="6">
        <v>21.5</v>
      </c>
      <c r="E293" s="6">
        <v>55.7</v>
      </c>
      <c r="F293" s="6">
        <v>14.7</v>
      </c>
      <c r="G293" s="6">
        <v>11.1</v>
      </c>
      <c r="H293" s="6">
        <v>4.4000000000000004</v>
      </c>
      <c r="I293" s="6">
        <v>107.4</v>
      </c>
      <c r="J293" s="6">
        <v>188</v>
      </c>
      <c r="K293" s="6">
        <v>-1.4</v>
      </c>
      <c r="L293" s="6">
        <v>75.5</v>
      </c>
      <c r="M293" s="7">
        <f t="shared" si="14"/>
        <v>5.0180180180180187</v>
      </c>
    </row>
    <row r="294" spans="1:13" ht="13.8" x14ac:dyDescent="0.25">
      <c r="A294" s="2" t="s">
        <v>52</v>
      </c>
      <c r="B294" s="2" t="s">
        <v>18</v>
      </c>
      <c r="C294" s="12">
        <v>46140</v>
      </c>
      <c r="D294" s="4">
        <v>20.8</v>
      </c>
      <c r="E294" s="4">
        <v>63.2</v>
      </c>
      <c r="F294" s="4">
        <v>12.7</v>
      </c>
      <c r="G294" s="4">
        <v>11.5</v>
      </c>
      <c r="H294" s="4">
        <v>4.5999999999999996</v>
      </c>
      <c r="I294" s="4">
        <v>112.8</v>
      </c>
      <c r="J294" s="4">
        <v>189.5</v>
      </c>
      <c r="K294" s="4">
        <v>-1.6</v>
      </c>
      <c r="L294" s="4">
        <v>66.5</v>
      </c>
      <c r="M294" s="7">
        <f t="shared" si="14"/>
        <v>5.4956521739130437</v>
      </c>
    </row>
    <row r="295" spans="1:13" ht="13.8" x14ac:dyDescent="0.25">
      <c r="A295" s="11" t="s">
        <v>55</v>
      </c>
      <c r="B295" s="2" t="s">
        <v>29</v>
      </c>
      <c r="C295" s="12">
        <v>46140</v>
      </c>
      <c r="D295" s="4">
        <v>30.5</v>
      </c>
      <c r="E295" s="4">
        <v>61.8</v>
      </c>
      <c r="F295" s="4">
        <v>15.5</v>
      </c>
      <c r="G295" s="4">
        <v>11.3</v>
      </c>
      <c r="H295" s="4">
        <v>4.7</v>
      </c>
      <c r="I295" s="4">
        <v>123.7</v>
      </c>
      <c r="J295" s="4">
        <v>195.5</v>
      </c>
      <c r="K295" s="4">
        <v>-0.49</v>
      </c>
      <c r="L295" s="4">
        <v>114</v>
      </c>
      <c r="M295" s="7">
        <f t="shared" si="14"/>
        <v>5.4690265486725655</v>
      </c>
    </row>
    <row r="296" spans="1:13" ht="13.8" x14ac:dyDescent="0.25">
      <c r="A296" s="19" t="s">
        <v>59</v>
      </c>
      <c r="B296" s="2" t="s">
        <v>34</v>
      </c>
      <c r="C296" s="5">
        <v>46140</v>
      </c>
      <c r="D296" s="4">
        <v>15.7</v>
      </c>
      <c r="E296" s="4">
        <v>45.9</v>
      </c>
      <c r="F296" s="4">
        <v>9.1999999999999993</v>
      </c>
      <c r="G296" s="4">
        <v>9.3000000000000007</v>
      </c>
      <c r="H296" s="4">
        <v>3.8</v>
      </c>
      <c r="I296" s="4">
        <v>83.9</v>
      </c>
      <c r="J296" s="4">
        <v>175.7</v>
      </c>
      <c r="K296" s="4">
        <v>-1.7</v>
      </c>
      <c r="L296" s="4">
        <v>58.5</v>
      </c>
      <c r="M296" s="7">
        <f t="shared" si="14"/>
        <v>4.9354838709677411</v>
      </c>
    </row>
    <row r="297" spans="1:13" ht="13.8" x14ac:dyDescent="0.25">
      <c r="A297" s="11" t="s">
        <v>73</v>
      </c>
      <c r="B297" s="2" t="s">
        <v>26</v>
      </c>
      <c r="C297" s="5">
        <v>46140</v>
      </c>
      <c r="D297" s="4">
        <v>21</v>
      </c>
      <c r="E297" s="4">
        <v>48.4</v>
      </c>
      <c r="F297" s="4">
        <v>10.4</v>
      </c>
      <c r="G297" s="4">
        <v>9.8000000000000007</v>
      </c>
      <c r="H297" s="4">
        <v>4.3</v>
      </c>
      <c r="I297" s="4">
        <v>93.7</v>
      </c>
      <c r="J297" s="4">
        <v>187</v>
      </c>
      <c r="K297" s="4">
        <v>-1.5</v>
      </c>
      <c r="L297" s="4">
        <v>71</v>
      </c>
      <c r="M297" s="7">
        <v>5</v>
      </c>
    </row>
    <row r="298" spans="1:13" ht="13.8" x14ac:dyDescent="0.25">
      <c r="A298" s="19" t="s">
        <v>87</v>
      </c>
      <c r="B298" s="2" t="s">
        <v>26</v>
      </c>
      <c r="C298" s="12">
        <v>46140</v>
      </c>
      <c r="D298" s="4">
        <v>18.8</v>
      </c>
      <c r="E298" s="4">
        <v>48</v>
      </c>
      <c r="F298" s="4">
        <v>9.9</v>
      </c>
      <c r="G298" s="4">
        <v>10.8</v>
      </c>
      <c r="H298" s="4">
        <v>4.4000000000000004</v>
      </c>
      <c r="I298" s="4">
        <v>92.8</v>
      </c>
      <c r="J298" s="4">
        <v>186</v>
      </c>
      <c r="K298" s="4">
        <v>-1.87</v>
      </c>
      <c r="L298" s="4">
        <v>56.5</v>
      </c>
      <c r="M298" s="20">
        <v>4.4000000000000004</v>
      </c>
    </row>
    <row r="299" spans="1:13" ht="13.8" x14ac:dyDescent="0.25">
      <c r="A299" s="19" t="s">
        <v>86</v>
      </c>
      <c r="B299" s="2" t="s">
        <v>29</v>
      </c>
      <c r="C299" s="5">
        <v>46140</v>
      </c>
      <c r="D299" s="4">
        <v>20.7</v>
      </c>
      <c r="E299" s="4">
        <v>49.6</v>
      </c>
      <c r="F299" s="4">
        <v>11.7</v>
      </c>
      <c r="G299" s="4">
        <v>10.199999999999999</v>
      </c>
      <c r="H299" s="4">
        <v>4.9000000000000004</v>
      </c>
      <c r="I299" s="4">
        <v>96.4</v>
      </c>
      <c r="J299" s="4">
        <v>190</v>
      </c>
      <c r="K299" s="4">
        <v>-1.6</v>
      </c>
      <c r="L299" s="4">
        <v>68.5</v>
      </c>
      <c r="M299" s="7">
        <f>E299/G299</f>
        <v>4.8627450980392162</v>
      </c>
    </row>
    <row r="300" spans="1:13" ht="13.8" x14ac:dyDescent="0.25">
      <c r="A300" s="8" t="s">
        <v>27</v>
      </c>
      <c r="B300" s="8" t="s">
        <v>26</v>
      </c>
      <c r="C300" s="9">
        <v>46170</v>
      </c>
      <c r="D300" s="6">
        <v>20.100000000000001</v>
      </c>
      <c r="E300" s="6">
        <v>50.3</v>
      </c>
      <c r="F300" s="6">
        <v>10.6</v>
      </c>
      <c r="G300" s="6">
        <v>9.6</v>
      </c>
      <c r="H300" s="6">
        <v>4.2</v>
      </c>
      <c r="I300" s="6">
        <v>94.8</v>
      </c>
      <c r="J300" s="6">
        <v>185</v>
      </c>
      <c r="K300" s="6">
        <v>-1.51</v>
      </c>
      <c r="L300" s="6">
        <v>69.5</v>
      </c>
      <c r="M300" s="7">
        <v>5.2</v>
      </c>
    </row>
    <row r="301" spans="1:13" ht="13.8" x14ac:dyDescent="0.25">
      <c r="A301" s="8" t="s">
        <v>31</v>
      </c>
      <c r="B301" s="8" t="s">
        <v>26</v>
      </c>
      <c r="C301" s="9">
        <v>46170</v>
      </c>
      <c r="D301" s="6">
        <v>14</v>
      </c>
      <c r="E301" s="6">
        <v>50.65</v>
      </c>
      <c r="F301" s="6">
        <v>10.3</v>
      </c>
      <c r="G301" s="6">
        <v>10.6</v>
      </c>
      <c r="H301" s="6">
        <v>4.2</v>
      </c>
      <c r="I301" s="6">
        <v>89.8</v>
      </c>
      <c r="J301" s="6">
        <v>186</v>
      </c>
      <c r="K301" s="6">
        <v>-2.4500000000000002</v>
      </c>
      <c r="L301" s="6">
        <v>34</v>
      </c>
      <c r="M301" s="7">
        <f>E301/G301</f>
        <v>4.7783018867924527</v>
      </c>
    </row>
    <row r="302" spans="1:13" ht="13.8" x14ac:dyDescent="0.25">
      <c r="A302" s="8" t="s">
        <v>32</v>
      </c>
      <c r="B302" s="8" t="s">
        <v>26</v>
      </c>
      <c r="C302" s="9">
        <v>46170</v>
      </c>
      <c r="D302" s="6">
        <v>18.3</v>
      </c>
      <c r="E302" s="6">
        <v>51</v>
      </c>
      <c r="F302" s="6">
        <v>11.1</v>
      </c>
      <c r="G302" s="6">
        <v>10.1</v>
      </c>
      <c r="H302" s="6">
        <v>4.0999999999999996</v>
      </c>
      <c r="I302" s="6">
        <v>94.6</v>
      </c>
      <c r="J302" s="6">
        <v>181</v>
      </c>
      <c r="K302" s="6">
        <v>-1.59</v>
      </c>
      <c r="L302" s="6">
        <v>65.5</v>
      </c>
      <c r="M302" s="7">
        <v>5.0999999999999996</v>
      </c>
    </row>
    <row r="303" spans="1:13" ht="13.8" x14ac:dyDescent="0.25">
      <c r="A303" s="8" t="s">
        <v>50</v>
      </c>
      <c r="B303" s="8" t="s">
        <v>16</v>
      </c>
      <c r="C303" s="9">
        <v>46170</v>
      </c>
      <c r="D303" s="6">
        <v>20.3</v>
      </c>
      <c r="E303" s="6">
        <v>53.3</v>
      </c>
      <c r="F303" s="6">
        <v>10.6</v>
      </c>
      <c r="G303" s="6">
        <v>9.5</v>
      </c>
      <c r="H303" s="6">
        <v>4.3</v>
      </c>
      <c r="I303" s="6">
        <v>98</v>
      </c>
      <c r="J303" s="6">
        <v>183</v>
      </c>
      <c r="K303" s="6">
        <v>-1.4</v>
      </c>
      <c r="L303" s="6">
        <v>71.5</v>
      </c>
      <c r="M303" s="7">
        <f>E303/G303</f>
        <v>5.6105263157894738</v>
      </c>
    </row>
    <row r="304" spans="1:13" ht="13.8" x14ac:dyDescent="0.25">
      <c r="A304" s="8" t="s">
        <v>51</v>
      </c>
      <c r="B304" s="8" t="s">
        <v>34</v>
      </c>
      <c r="C304" s="9">
        <v>46170</v>
      </c>
      <c r="D304" s="6">
        <v>15.2</v>
      </c>
      <c r="E304" s="6">
        <v>45.3</v>
      </c>
      <c r="F304" s="6">
        <v>10.5</v>
      </c>
      <c r="G304" s="6">
        <v>7.8</v>
      </c>
      <c r="H304" s="6">
        <v>3.9</v>
      </c>
      <c r="I304" s="6">
        <v>82.8</v>
      </c>
      <c r="J304" s="6">
        <v>172.3</v>
      </c>
      <c r="K304" s="6">
        <v>-1.8</v>
      </c>
      <c r="L304" s="6">
        <v>54.5</v>
      </c>
      <c r="M304" s="7">
        <f>E304/G304</f>
        <v>5.8076923076923075</v>
      </c>
    </row>
    <row r="305" spans="1:13" ht="13.8" x14ac:dyDescent="0.25">
      <c r="A305" s="11" t="s">
        <v>63</v>
      </c>
      <c r="B305" s="2" t="s">
        <v>16</v>
      </c>
      <c r="C305" s="5">
        <v>46170</v>
      </c>
      <c r="D305" s="4">
        <v>16.100000000000001</v>
      </c>
      <c r="E305" s="4">
        <v>46.8</v>
      </c>
      <c r="F305" s="4">
        <v>9.6</v>
      </c>
      <c r="G305" s="4">
        <v>9</v>
      </c>
      <c r="H305" s="4">
        <v>4.3</v>
      </c>
      <c r="I305" s="4">
        <v>85.8</v>
      </c>
      <c r="J305" s="4">
        <v>181.5</v>
      </c>
      <c r="K305" s="4">
        <v>-2.09</v>
      </c>
      <c r="L305" s="4">
        <v>46.5</v>
      </c>
      <c r="M305" s="7">
        <f>E305/G305</f>
        <v>5.1999999999999993</v>
      </c>
    </row>
    <row r="306" spans="1:13" ht="13.8" x14ac:dyDescent="0.25">
      <c r="A306" s="11" t="s">
        <v>64</v>
      </c>
      <c r="B306" s="2" t="s">
        <v>15</v>
      </c>
      <c r="C306" s="5">
        <v>46170</v>
      </c>
      <c r="D306" s="4">
        <v>12.8</v>
      </c>
      <c r="E306" s="4">
        <v>47.9</v>
      </c>
      <c r="F306" s="4">
        <v>10.1</v>
      </c>
      <c r="G306" s="4">
        <v>8.8000000000000007</v>
      </c>
      <c r="H306" s="4">
        <v>4</v>
      </c>
      <c r="I306" s="4">
        <v>83.7</v>
      </c>
      <c r="J306" s="4">
        <v>176.8</v>
      </c>
      <c r="K306" s="4">
        <v>-2.35</v>
      </c>
      <c r="L306" s="4">
        <v>34.5</v>
      </c>
      <c r="M306" s="7">
        <f>E306/G306</f>
        <v>5.4431818181818175</v>
      </c>
    </row>
    <row r="307" spans="1:13" ht="13.8" x14ac:dyDescent="0.25">
      <c r="A307" s="11" t="s">
        <v>65</v>
      </c>
      <c r="B307" s="2" t="s">
        <v>15</v>
      </c>
      <c r="C307" s="5">
        <v>46170</v>
      </c>
      <c r="D307" s="4">
        <v>18.899999999999999</v>
      </c>
      <c r="E307" s="4">
        <v>45.2</v>
      </c>
      <c r="F307" s="4">
        <v>10.6</v>
      </c>
      <c r="G307" s="4">
        <v>8.3000000000000007</v>
      </c>
      <c r="H307" s="4">
        <v>4.0999999999999996</v>
      </c>
      <c r="I307" s="4">
        <v>87.1</v>
      </c>
      <c r="J307" s="4">
        <v>182</v>
      </c>
      <c r="K307" s="4">
        <v>-1.63</v>
      </c>
      <c r="L307" s="4">
        <v>64</v>
      </c>
      <c r="M307" s="7">
        <v>5.5</v>
      </c>
    </row>
    <row r="308" spans="1:13" ht="13.8" x14ac:dyDescent="0.25">
      <c r="A308" s="8" t="s">
        <v>37</v>
      </c>
      <c r="B308" s="8" t="s">
        <v>34</v>
      </c>
      <c r="C308" s="9">
        <v>46177</v>
      </c>
      <c r="D308" s="6">
        <v>11.4</v>
      </c>
      <c r="E308" s="6">
        <v>43.6</v>
      </c>
      <c r="F308" s="6">
        <v>9.5</v>
      </c>
      <c r="G308" s="6">
        <v>8.3000000000000007</v>
      </c>
      <c r="H308" s="6">
        <v>3.8</v>
      </c>
      <c r="I308" s="6">
        <v>76.5</v>
      </c>
      <c r="J308" s="6">
        <v>173.7</v>
      </c>
      <c r="K308" s="6">
        <v>-2.4</v>
      </c>
      <c r="L308" s="6">
        <v>32</v>
      </c>
      <c r="M308" s="7">
        <v>5.3</v>
      </c>
    </row>
    <row r="309" spans="1:13" ht="13.8" x14ac:dyDescent="0.25">
      <c r="A309" s="8" t="s">
        <v>41</v>
      </c>
      <c r="B309" s="8" t="s">
        <v>22</v>
      </c>
      <c r="C309" s="9">
        <v>46177</v>
      </c>
      <c r="D309" s="6">
        <v>30.9</v>
      </c>
      <c r="E309" s="6">
        <v>62.5</v>
      </c>
      <c r="F309" s="6">
        <v>19.100000000000001</v>
      </c>
      <c r="G309" s="6">
        <v>13.4</v>
      </c>
      <c r="H309" s="6">
        <v>4.7</v>
      </c>
      <c r="I309" s="6">
        <v>130.69999999999999</v>
      </c>
      <c r="J309" s="6">
        <v>179.1</v>
      </c>
      <c r="K309" s="6">
        <v>0.46</v>
      </c>
      <c r="L309" s="6">
        <v>139.5</v>
      </c>
      <c r="M309" s="7">
        <f>E309/G309</f>
        <v>4.6641791044776122</v>
      </c>
    </row>
    <row r="310" spans="1:13" ht="13.8" x14ac:dyDescent="0.25">
      <c r="A310" s="8" t="s">
        <v>47</v>
      </c>
      <c r="B310" s="8" t="s">
        <v>26</v>
      </c>
      <c r="C310" s="9">
        <v>46177</v>
      </c>
      <c r="D310" s="6">
        <v>17.2</v>
      </c>
      <c r="E310" s="6">
        <v>47.5</v>
      </c>
      <c r="F310" s="6">
        <v>10.6</v>
      </c>
      <c r="G310" s="6">
        <v>9.1999999999999993</v>
      </c>
      <c r="H310" s="6">
        <v>3.9</v>
      </c>
      <c r="I310" s="6">
        <v>88.5</v>
      </c>
      <c r="J310" s="6">
        <v>177.2</v>
      </c>
      <c r="K310" s="6">
        <v>-1.58</v>
      </c>
      <c r="L310" s="6">
        <v>64</v>
      </c>
      <c r="M310" s="7">
        <v>5.0999999999999996</v>
      </c>
    </row>
    <row r="311" spans="1:13" ht="13.8" x14ac:dyDescent="0.25">
      <c r="A311" s="19" t="s">
        <v>61</v>
      </c>
      <c r="B311" s="2" t="s">
        <v>26</v>
      </c>
      <c r="C311" s="5">
        <v>46177</v>
      </c>
      <c r="D311" s="4">
        <v>16.3</v>
      </c>
      <c r="E311" s="4">
        <v>47.7</v>
      </c>
      <c r="F311" s="4">
        <v>9.6999999999999993</v>
      </c>
      <c r="G311" s="4">
        <v>9.6</v>
      </c>
      <c r="H311" s="4">
        <v>4</v>
      </c>
      <c r="I311" s="4">
        <v>87.3</v>
      </c>
      <c r="J311" s="4">
        <v>177.3</v>
      </c>
      <c r="K311" s="4">
        <v>-1.79</v>
      </c>
      <c r="L311" s="4">
        <v>56.5</v>
      </c>
      <c r="M311" s="7">
        <f>E311/G311</f>
        <v>4.9687500000000009</v>
      </c>
    </row>
    <row r="312" spans="1:13" ht="13.8" x14ac:dyDescent="0.25">
      <c r="A312" s="11" t="s">
        <v>72</v>
      </c>
      <c r="B312" s="2" t="s">
        <v>18</v>
      </c>
      <c r="C312" s="5">
        <v>46177</v>
      </c>
      <c r="D312" s="4">
        <v>21.9</v>
      </c>
      <c r="E312" s="4">
        <v>49.7</v>
      </c>
      <c r="F312" s="4">
        <v>13.1</v>
      </c>
      <c r="G312" s="4">
        <v>10.3</v>
      </c>
      <c r="H312" s="4">
        <v>4.2</v>
      </c>
      <c r="I312" s="4">
        <v>99.1</v>
      </c>
      <c r="J312" s="4">
        <v>176.3</v>
      </c>
      <c r="K312" s="4">
        <v>-0.77</v>
      </c>
      <c r="L312" s="4">
        <v>93</v>
      </c>
      <c r="M312" s="7">
        <f>E312/G312</f>
        <v>4.825242718446602</v>
      </c>
    </row>
    <row r="313" spans="1:13" ht="13.8" x14ac:dyDescent="0.25">
      <c r="A313" s="11" t="s">
        <v>83</v>
      </c>
      <c r="B313" s="2" t="s">
        <v>26</v>
      </c>
      <c r="C313" s="5">
        <v>46177</v>
      </c>
      <c r="D313" s="4">
        <v>16.899999999999999</v>
      </c>
      <c r="E313" s="4">
        <v>50.4</v>
      </c>
      <c r="F313" s="4">
        <v>12.1</v>
      </c>
      <c r="G313" s="4">
        <v>9.8000000000000007</v>
      </c>
      <c r="H313" s="4">
        <v>4.2</v>
      </c>
      <c r="I313" s="4">
        <v>93.4</v>
      </c>
      <c r="J313" s="4">
        <v>180.6</v>
      </c>
      <c r="K313" s="4">
        <v>-1.8</v>
      </c>
      <c r="L313" s="4">
        <v>56</v>
      </c>
      <c r="M313" s="7">
        <f>E313/G313</f>
        <v>5.1428571428571423</v>
      </c>
    </row>
    <row r="314" spans="1:13" ht="13.8" x14ac:dyDescent="0.25">
      <c r="A314" s="11" t="s">
        <v>88</v>
      </c>
      <c r="B314" s="2" t="s">
        <v>15</v>
      </c>
      <c r="C314" s="12">
        <v>46177</v>
      </c>
      <c r="D314" s="4">
        <v>14.4</v>
      </c>
      <c r="E314" s="4">
        <v>46.4</v>
      </c>
      <c r="F314" s="4">
        <v>9.5</v>
      </c>
      <c r="G314" s="4">
        <v>11</v>
      </c>
      <c r="H314" s="4">
        <v>4.3</v>
      </c>
      <c r="I314" s="4">
        <v>85.6</v>
      </c>
      <c r="J314" s="4">
        <v>190</v>
      </c>
      <c r="K314" s="4">
        <v>-2.56</v>
      </c>
      <c r="L314" s="4">
        <v>30.5</v>
      </c>
      <c r="M314" s="20">
        <v>4.2</v>
      </c>
    </row>
    <row r="315" spans="1:13" ht="13.8" x14ac:dyDescent="0.25">
      <c r="A315" s="11" t="s">
        <v>92</v>
      </c>
      <c r="B315" s="2" t="s">
        <v>29</v>
      </c>
      <c r="C315" s="12">
        <v>46177</v>
      </c>
      <c r="D315" s="4">
        <v>17.100000000000001</v>
      </c>
      <c r="E315" s="4">
        <v>57.2</v>
      </c>
      <c r="F315" s="4">
        <v>12.9</v>
      </c>
      <c r="G315" s="4">
        <v>11.3</v>
      </c>
      <c r="H315" s="4">
        <v>4.5999999999999996</v>
      </c>
      <c r="I315" s="4">
        <v>103.1</v>
      </c>
      <c r="J315" s="4">
        <v>187.2</v>
      </c>
      <c r="K315" s="4">
        <v>-2.1</v>
      </c>
      <c r="L315" s="4">
        <v>48</v>
      </c>
      <c r="M315" s="20">
        <v>5.0999999999999996</v>
      </c>
    </row>
    <row r="316" spans="1:13" ht="13.8" x14ac:dyDescent="0.25">
      <c r="A316" s="11" t="s">
        <v>91</v>
      </c>
      <c r="B316" s="2" t="s">
        <v>34</v>
      </c>
      <c r="C316" s="12">
        <v>46181</v>
      </c>
      <c r="D316" s="4">
        <v>16.399999999999999</v>
      </c>
      <c r="E316" s="4">
        <v>45.4</v>
      </c>
      <c r="F316" s="4">
        <v>9.3000000000000007</v>
      </c>
      <c r="G316" s="4">
        <v>9</v>
      </c>
      <c r="H316" s="4">
        <v>4</v>
      </c>
      <c r="I316" s="4">
        <v>84</v>
      </c>
      <c r="J316" s="4">
        <v>180</v>
      </c>
      <c r="K316" s="4">
        <v>-1.86</v>
      </c>
      <c r="L316" s="4">
        <v>54.5</v>
      </c>
      <c r="M316" s="20">
        <v>5.0999999999999996</v>
      </c>
    </row>
    <row r="317" spans="1:13" ht="13.8" x14ac:dyDescent="0.25">
      <c r="A317" s="8" t="s">
        <v>21</v>
      </c>
      <c r="B317" s="8" t="s">
        <v>22</v>
      </c>
      <c r="C317" s="9">
        <v>46191</v>
      </c>
      <c r="D317" s="6">
        <v>25.47</v>
      </c>
      <c r="E317" s="6">
        <v>65.58</v>
      </c>
      <c r="F317" s="6">
        <v>15.64</v>
      </c>
      <c r="G317" s="6">
        <v>12.5</v>
      </c>
      <c r="H317" s="6">
        <v>4.74</v>
      </c>
      <c r="I317" s="6">
        <v>123.9</v>
      </c>
      <c r="J317" s="6">
        <v>180</v>
      </c>
      <c r="K317" s="6">
        <v>-0.52</v>
      </c>
      <c r="L317" s="6">
        <v>104</v>
      </c>
      <c r="M317" s="7">
        <v>5.3</v>
      </c>
    </row>
    <row r="318" spans="1:13" ht="13.8" x14ac:dyDescent="0.25">
      <c r="A318" s="8" t="s">
        <v>24</v>
      </c>
      <c r="B318" s="8" t="s">
        <v>22</v>
      </c>
      <c r="C318" s="9">
        <v>46191</v>
      </c>
      <c r="D318" s="6">
        <v>25.1</v>
      </c>
      <c r="E318" s="6">
        <v>72.150000000000006</v>
      </c>
      <c r="F318" s="6">
        <v>17.399999999999999</v>
      </c>
      <c r="G318" s="6">
        <v>12.7</v>
      </c>
      <c r="H318" s="6">
        <v>4.8</v>
      </c>
      <c r="I318" s="6">
        <v>132.1</v>
      </c>
      <c r="J318" s="6">
        <v>180.2</v>
      </c>
      <c r="K318" s="6">
        <v>-0.54</v>
      </c>
      <c r="L318" s="6">
        <v>103.5</v>
      </c>
      <c r="M318" s="7">
        <v>5.7</v>
      </c>
    </row>
    <row r="319" spans="1:13" ht="13.8" x14ac:dyDescent="0.25">
      <c r="A319" s="8" t="s">
        <v>25</v>
      </c>
      <c r="B319" s="8" t="s">
        <v>26</v>
      </c>
      <c r="C319" s="9">
        <v>46191</v>
      </c>
      <c r="D319" s="6">
        <v>21.62</v>
      </c>
      <c r="E319" s="6">
        <v>48.7</v>
      </c>
      <c r="F319" s="6">
        <v>10.7</v>
      </c>
      <c r="G319" s="6">
        <v>8.8000000000000007</v>
      </c>
      <c r="H319" s="6">
        <v>4.2</v>
      </c>
      <c r="I319" s="6">
        <v>93.9</v>
      </c>
      <c r="J319" s="6">
        <v>191.8</v>
      </c>
      <c r="K319" s="6">
        <v>-1.51</v>
      </c>
      <c r="L319" s="6">
        <v>72</v>
      </c>
      <c r="M319" s="7">
        <v>5.6</v>
      </c>
    </row>
    <row r="320" spans="1:13" ht="13.8" x14ac:dyDescent="0.25">
      <c r="A320" s="8" t="s">
        <v>43</v>
      </c>
      <c r="B320" s="8" t="s">
        <v>29</v>
      </c>
      <c r="C320" s="9">
        <v>46191</v>
      </c>
      <c r="D320" s="6">
        <v>21.3</v>
      </c>
      <c r="E320" s="6">
        <v>55.1</v>
      </c>
      <c r="F320" s="6">
        <v>12.7</v>
      </c>
      <c r="G320" s="6">
        <v>12.3</v>
      </c>
      <c r="H320" s="6">
        <v>4.5</v>
      </c>
      <c r="I320" s="6">
        <v>105.9</v>
      </c>
      <c r="J320" s="6">
        <v>193.8</v>
      </c>
      <c r="K320" s="6">
        <v>-1.72</v>
      </c>
      <c r="L320" s="6">
        <v>64.5</v>
      </c>
      <c r="M320" s="7">
        <v>4.5</v>
      </c>
    </row>
    <row r="321" spans="1:13" ht="13.8" x14ac:dyDescent="0.25">
      <c r="A321" s="8" t="s">
        <v>44</v>
      </c>
      <c r="B321" s="8" t="s">
        <v>39</v>
      </c>
      <c r="C321" s="9">
        <v>46191</v>
      </c>
      <c r="D321" s="6">
        <v>15.4</v>
      </c>
      <c r="E321" s="6">
        <v>46.2</v>
      </c>
      <c r="F321" s="6">
        <v>10.3</v>
      </c>
      <c r="G321" s="6">
        <v>9.4</v>
      </c>
      <c r="H321" s="6">
        <v>4.2</v>
      </c>
      <c r="I321" s="6">
        <v>85.5</v>
      </c>
      <c r="J321" s="6">
        <v>182.6</v>
      </c>
      <c r="K321" s="6">
        <v>-2.1800000000000002</v>
      </c>
      <c r="L321" s="6">
        <v>43.5</v>
      </c>
      <c r="M321" s="7">
        <v>4.9000000000000004</v>
      </c>
    </row>
    <row r="322" spans="1:13" ht="13.8" x14ac:dyDescent="0.25">
      <c r="A322" s="19" t="s">
        <v>66</v>
      </c>
      <c r="B322" s="2" t="s">
        <v>20</v>
      </c>
      <c r="C322" s="5">
        <v>46191</v>
      </c>
      <c r="D322" s="4">
        <v>10.9</v>
      </c>
      <c r="E322" s="4">
        <v>40.799999999999997</v>
      </c>
      <c r="F322" s="4">
        <v>9.5</v>
      </c>
      <c r="G322" s="4">
        <v>7.8</v>
      </c>
      <c r="H322" s="4">
        <v>3.6</v>
      </c>
      <c r="I322" s="4">
        <v>72.599999999999994</v>
      </c>
      <c r="J322" s="4">
        <v>168</v>
      </c>
      <c r="K322" s="4">
        <v>-2.37</v>
      </c>
      <c r="L322" s="4">
        <v>33.5</v>
      </c>
      <c r="M322" s="7">
        <f>E322/G322</f>
        <v>5.2307692307692308</v>
      </c>
    </row>
    <row r="323" spans="1:13" ht="13.8" x14ac:dyDescent="0.25">
      <c r="A323" s="11" t="s">
        <v>68</v>
      </c>
      <c r="B323" s="2" t="s">
        <v>39</v>
      </c>
      <c r="C323" s="5">
        <v>46191</v>
      </c>
      <c r="D323" s="4">
        <v>13.5</v>
      </c>
      <c r="E323" s="4">
        <v>45.4</v>
      </c>
      <c r="F323" s="4">
        <v>9.8000000000000007</v>
      </c>
      <c r="G323" s="4">
        <v>8.4</v>
      </c>
      <c r="H323" s="4">
        <v>3.9</v>
      </c>
      <c r="I323" s="4">
        <v>81.099999999999994</v>
      </c>
      <c r="J323" s="4">
        <v>179</v>
      </c>
      <c r="K323" s="4">
        <v>-2.2999999999999998</v>
      </c>
      <c r="L323" s="4">
        <v>39</v>
      </c>
      <c r="M323" s="7">
        <f>E323/G323</f>
        <v>5.4047619047619042</v>
      </c>
    </row>
    <row r="324" spans="1:13" ht="13.8" x14ac:dyDescent="0.25">
      <c r="A324" s="11" t="s">
        <v>80</v>
      </c>
      <c r="B324" s="2" t="s">
        <v>22</v>
      </c>
      <c r="C324" s="5">
        <v>46191</v>
      </c>
      <c r="D324" s="4">
        <v>21.76</v>
      </c>
      <c r="E324" s="4">
        <v>53.76</v>
      </c>
      <c r="F324" s="4">
        <v>12.89</v>
      </c>
      <c r="G324" s="4">
        <v>10.199999999999999</v>
      </c>
      <c r="H324" s="4">
        <v>4.0999999999999996</v>
      </c>
      <c r="I324" s="4">
        <v>102.8</v>
      </c>
      <c r="J324" s="4">
        <v>170</v>
      </c>
      <c r="K324" s="4">
        <v>-0.41</v>
      </c>
      <c r="L324" s="4">
        <v>102</v>
      </c>
      <c r="M324" s="7">
        <v>5.2</v>
      </c>
    </row>
    <row r="325" spans="1:13" ht="13.8" x14ac:dyDescent="0.25">
      <c r="A325" s="11" t="s">
        <v>87</v>
      </c>
      <c r="B325" s="2" t="s">
        <v>26</v>
      </c>
      <c r="C325" s="12">
        <v>46191</v>
      </c>
      <c r="D325" s="4">
        <v>19</v>
      </c>
      <c r="E325" s="4">
        <v>49.07</v>
      </c>
      <c r="F325" s="4">
        <v>9.9</v>
      </c>
      <c r="G325" s="4">
        <v>10.9</v>
      </c>
      <c r="H325" s="4">
        <v>4.4000000000000004</v>
      </c>
      <c r="I325" s="4">
        <v>93.2</v>
      </c>
      <c r="J325" s="4">
        <v>186.8</v>
      </c>
      <c r="K325" s="4">
        <v>-1.83</v>
      </c>
      <c r="L325" s="4">
        <v>58</v>
      </c>
      <c r="M325" s="20">
        <v>4.5</v>
      </c>
    </row>
    <row r="326" spans="1:13" ht="13.8" x14ac:dyDescent="0.25">
      <c r="A326" s="19" t="s">
        <v>97</v>
      </c>
      <c r="B326" s="2" t="s">
        <v>98</v>
      </c>
      <c r="C326" s="12">
        <v>46191</v>
      </c>
      <c r="D326" s="4">
        <v>28.5</v>
      </c>
      <c r="E326" s="4">
        <v>53.27</v>
      </c>
      <c r="F326" s="4">
        <v>12.9</v>
      </c>
      <c r="G326" s="4">
        <v>9.24</v>
      </c>
      <c r="H326" s="4">
        <v>4.01</v>
      </c>
      <c r="I326" s="4">
        <v>107.9</v>
      </c>
      <c r="J326" s="4">
        <v>173.8</v>
      </c>
      <c r="K326" s="4">
        <v>0.83</v>
      </c>
      <c r="L326" s="4">
        <v>148.5</v>
      </c>
      <c r="M326" s="20">
        <v>5.8</v>
      </c>
    </row>
    <row r="327" spans="1:13" ht="13.8" x14ac:dyDescent="0.25">
      <c r="A327" s="8" t="s">
        <v>36</v>
      </c>
      <c r="B327" s="8" t="s">
        <v>26</v>
      </c>
      <c r="C327" s="9">
        <v>46198</v>
      </c>
      <c r="D327" s="6">
        <v>24.63</v>
      </c>
      <c r="E327" s="6">
        <v>56.88</v>
      </c>
      <c r="F327" s="6">
        <v>11.9</v>
      </c>
      <c r="G327" s="6">
        <v>10.9</v>
      </c>
      <c r="H327" s="6">
        <v>4.62</v>
      </c>
      <c r="I327" s="6">
        <v>108.9</v>
      </c>
      <c r="J327" s="6">
        <v>191</v>
      </c>
      <c r="K327" s="6">
        <v>-1.21</v>
      </c>
      <c r="L327" s="6">
        <v>83.5</v>
      </c>
      <c r="M327" s="7">
        <f>E327/G327</f>
        <v>5.2183486238532106</v>
      </c>
    </row>
    <row r="328" spans="1:13" ht="13.8" x14ac:dyDescent="0.25">
      <c r="A328" s="19" t="s">
        <v>55</v>
      </c>
      <c r="B328" s="2" t="s">
        <v>29</v>
      </c>
      <c r="C328" s="12">
        <v>46198</v>
      </c>
      <c r="D328" s="4">
        <v>30.63</v>
      </c>
      <c r="E328" s="4">
        <v>61.91</v>
      </c>
      <c r="F328" s="4">
        <v>15.88</v>
      </c>
      <c r="G328" s="4">
        <v>11.3</v>
      </c>
      <c r="H328" s="4">
        <v>4.7</v>
      </c>
      <c r="I328" s="4">
        <v>124.4</v>
      </c>
      <c r="J328" s="4">
        <v>195.5</v>
      </c>
      <c r="K328" s="4">
        <v>-0.52</v>
      </c>
      <c r="L328" s="4">
        <v>113</v>
      </c>
      <c r="M328" s="7">
        <f>E328/G328</f>
        <v>5.4787610619469023</v>
      </c>
    </row>
    <row r="329" spans="1:13" ht="13.8" x14ac:dyDescent="0.25">
      <c r="A329" s="11" t="s">
        <v>69</v>
      </c>
      <c r="B329" s="2" t="s">
        <v>22</v>
      </c>
      <c r="C329" s="5">
        <v>46198</v>
      </c>
      <c r="D329" s="4">
        <v>27.78</v>
      </c>
      <c r="E329" s="4">
        <v>58.94</v>
      </c>
      <c r="F329" s="4">
        <v>13.95</v>
      </c>
      <c r="G329" s="4">
        <v>10.24</v>
      </c>
      <c r="H329" s="4">
        <v>4.7</v>
      </c>
      <c r="I329" s="4">
        <v>115.6</v>
      </c>
      <c r="J329" s="4">
        <v>184</v>
      </c>
      <c r="K329" s="4">
        <v>-0.42</v>
      </c>
      <c r="L329" s="4">
        <v>110</v>
      </c>
      <c r="M329" s="7">
        <v>5.8</v>
      </c>
    </row>
    <row r="330" spans="1:13" ht="13.8" x14ac:dyDescent="0.25">
      <c r="A330" s="2" t="s">
        <v>52</v>
      </c>
      <c r="B330" s="2" t="s">
        <v>18</v>
      </c>
      <c r="C330" s="12">
        <v>46205</v>
      </c>
      <c r="D330" s="4">
        <v>22.16</v>
      </c>
      <c r="E330" s="4">
        <v>62.18</v>
      </c>
      <c r="F330" s="4">
        <v>12.5</v>
      </c>
      <c r="G330" s="4">
        <v>11.5</v>
      </c>
      <c r="H330" s="4">
        <v>4.7</v>
      </c>
      <c r="I330" s="4">
        <v>113</v>
      </c>
      <c r="J330" s="4">
        <v>189.5</v>
      </c>
      <c r="K330" s="4">
        <v>-1.5</v>
      </c>
      <c r="L330" s="4">
        <v>72</v>
      </c>
      <c r="M330" s="7">
        <f>E330/G330</f>
        <v>5.4069565217391302</v>
      </c>
    </row>
    <row r="331" spans="1:13" ht="13.8" x14ac:dyDescent="0.25">
      <c r="A331" s="19" t="s">
        <v>76</v>
      </c>
      <c r="B331" s="2" t="s">
        <v>18</v>
      </c>
      <c r="C331" s="5">
        <v>46205</v>
      </c>
      <c r="D331" s="4">
        <v>21.54</v>
      </c>
      <c r="E331" s="4">
        <v>50.79</v>
      </c>
      <c r="F331" s="4">
        <v>13.23</v>
      </c>
      <c r="G331" s="4">
        <v>9.85</v>
      </c>
      <c r="H331" s="4">
        <v>4.1900000000000004</v>
      </c>
      <c r="I331" s="4">
        <v>99.6</v>
      </c>
      <c r="J331" s="4">
        <v>171.7</v>
      </c>
      <c r="K331" s="4">
        <v>-0.63</v>
      </c>
      <c r="L331" s="4">
        <v>95.3</v>
      </c>
      <c r="M331" s="7">
        <f>E331/G331</f>
        <v>5.1563451776649751</v>
      </c>
    </row>
    <row r="332" spans="1:13" ht="13.8" x14ac:dyDescent="0.25">
      <c r="A332" s="11" t="s">
        <v>89</v>
      </c>
      <c r="B332" s="2" t="s">
        <v>15</v>
      </c>
      <c r="C332" s="12">
        <v>46205</v>
      </c>
      <c r="D332" s="4">
        <v>11.599</v>
      </c>
      <c r="E332" s="4">
        <v>43.529000000000003</v>
      </c>
      <c r="F332" s="4">
        <v>9.5370000000000008</v>
      </c>
      <c r="G332" s="4">
        <v>9.6069999999999993</v>
      </c>
      <c r="H332" s="4">
        <v>3.8290000000000002</v>
      </c>
      <c r="I332" s="4">
        <v>78.099999999999994</v>
      </c>
      <c r="J332" s="4">
        <v>177.6</v>
      </c>
      <c r="K332" s="4">
        <v>-2.5299999999999998</v>
      </c>
      <c r="L332" s="4">
        <v>29.5</v>
      </c>
      <c r="M332" s="20">
        <v>4.5</v>
      </c>
    </row>
    <row r="333" spans="1:13" ht="13.8" x14ac:dyDescent="0.25">
      <c r="A333" s="19" t="s">
        <v>90</v>
      </c>
      <c r="B333" s="2" t="s">
        <v>16</v>
      </c>
      <c r="C333" s="12">
        <v>46205</v>
      </c>
      <c r="D333" s="4">
        <v>15.21</v>
      </c>
      <c r="E333" s="4">
        <v>53.74</v>
      </c>
      <c r="F333" s="4">
        <v>10.73</v>
      </c>
      <c r="G333" s="4">
        <v>11.02</v>
      </c>
      <c r="H333" s="4">
        <v>4.3099999999999996</v>
      </c>
      <c r="I333" s="4">
        <v>95</v>
      </c>
      <c r="J333" s="4">
        <v>183</v>
      </c>
      <c r="K333" s="4">
        <v>-2.2000000000000002</v>
      </c>
      <c r="L333" s="4">
        <v>43</v>
      </c>
      <c r="M333" s="20">
        <v>4.9000000000000004</v>
      </c>
    </row>
    <row r="334" spans="1:13" ht="13.8" x14ac:dyDescent="0.25">
      <c r="A334" s="11" t="s">
        <v>77</v>
      </c>
      <c r="B334" s="2" t="s">
        <v>29</v>
      </c>
      <c r="C334" s="5">
        <v>46198</v>
      </c>
      <c r="D334" s="4">
        <v>19.721</v>
      </c>
      <c r="E334" s="4">
        <v>56.725999999999999</v>
      </c>
      <c r="F334" s="4">
        <v>11.807</v>
      </c>
      <c r="G334" s="4">
        <v>11.244999999999999</v>
      </c>
      <c r="H334" s="4">
        <v>11.244999999999999</v>
      </c>
      <c r="I334" s="4">
        <v>4.601</v>
      </c>
      <c r="J334" s="4">
        <v>189</v>
      </c>
      <c r="K334" s="4">
        <v>-1.82</v>
      </c>
      <c r="L334" s="4">
        <v>59</v>
      </c>
      <c r="M334" s="7">
        <f>E334/G334</f>
        <v>5.0445531347265451</v>
      </c>
    </row>
    <row r="335" spans="1:13" ht="13.2" x14ac:dyDescent="0.25">
      <c r="C335" s="16"/>
    </row>
    <row r="336" spans="1:13" ht="13.2" x14ac:dyDescent="0.25">
      <c r="C336" s="16"/>
    </row>
    <row r="337" spans="3:3" ht="13.2" x14ac:dyDescent="0.25">
      <c r="C337" s="16"/>
    </row>
    <row r="338" spans="3:3" ht="13.2" x14ac:dyDescent="0.25">
      <c r="C338" s="16"/>
    </row>
    <row r="339" spans="3:3" ht="13.2" x14ac:dyDescent="0.25">
      <c r="C339" s="16"/>
    </row>
    <row r="340" spans="3:3" ht="13.2" x14ac:dyDescent="0.25">
      <c r="C340" s="16"/>
    </row>
    <row r="341" spans="3:3" ht="13.2" x14ac:dyDescent="0.25">
      <c r="C341" s="16"/>
    </row>
    <row r="342" spans="3:3" ht="13.2" x14ac:dyDescent="0.25">
      <c r="C342" s="16"/>
    </row>
    <row r="343" spans="3:3" ht="13.2" x14ac:dyDescent="0.25">
      <c r="C343" s="16"/>
    </row>
    <row r="344" spans="3:3" ht="13.2" x14ac:dyDescent="0.25">
      <c r="C344" s="16"/>
    </row>
    <row r="345" spans="3:3" ht="13.2" x14ac:dyDescent="0.25">
      <c r="C345" s="16"/>
    </row>
    <row r="346" spans="3:3" ht="13.2" x14ac:dyDescent="0.25">
      <c r="C346" s="16"/>
    </row>
    <row r="347" spans="3:3" ht="13.2" x14ac:dyDescent="0.25">
      <c r="C347" s="16"/>
    </row>
    <row r="348" spans="3:3" ht="13.2" x14ac:dyDescent="0.25">
      <c r="C348" s="16"/>
    </row>
    <row r="349" spans="3:3" ht="13.2" x14ac:dyDescent="0.25">
      <c r="C349" s="16"/>
    </row>
    <row r="350" spans="3:3" ht="13.2" x14ac:dyDescent="0.25">
      <c r="C350" s="16"/>
    </row>
    <row r="351" spans="3:3" ht="13.2" x14ac:dyDescent="0.25">
      <c r="C351" s="16"/>
    </row>
    <row r="352" spans="3:3" ht="13.2" x14ac:dyDescent="0.25">
      <c r="C352" s="16"/>
    </row>
    <row r="353" spans="3:3" ht="13.2" x14ac:dyDescent="0.25">
      <c r="C353" s="16"/>
    </row>
    <row r="354" spans="3:3" ht="13.2" x14ac:dyDescent="0.25">
      <c r="C354" s="16"/>
    </row>
    <row r="355" spans="3:3" ht="13.2" x14ac:dyDescent="0.25">
      <c r="C355" s="16"/>
    </row>
    <row r="356" spans="3:3" ht="13.2" x14ac:dyDescent="0.25">
      <c r="C356" s="16"/>
    </row>
    <row r="357" spans="3:3" ht="13.2" x14ac:dyDescent="0.25">
      <c r="C357" s="16"/>
    </row>
    <row r="358" spans="3:3" ht="13.2" x14ac:dyDescent="0.25">
      <c r="C358" s="16"/>
    </row>
    <row r="359" spans="3:3" ht="13.2" x14ac:dyDescent="0.25">
      <c r="C359" s="16"/>
    </row>
    <row r="360" spans="3:3" ht="13.2" x14ac:dyDescent="0.25">
      <c r="C360" s="16"/>
    </row>
    <row r="361" spans="3:3" ht="13.2" x14ac:dyDescent="0.25">
      <c r="C361" s="16"/>
    </row>
    <row r="362" spans="3:3" ht="13.2" x14ac:dyDescent="0.25">
      <c r="C362" s="16"/>
    </row>
    <row r="363" spans="3:3" ht="13.2" x14ac:dyDescent="0.25">
      <c r="C363" s="16"/>
    </row>
    <row r="364" spans="3:3" ht="13.2" x14ac:dyDescent="0.25">
      <c r="C364" s="16"/>
    </row>
    <row r="365" spans="3:3" ht="13.2" x14ac:dyDescent="0.25">
      <c r="C365" s="16"/>
    </row>
    <row r="366" spans="3:3" ht="13.2" x14ac:dyDescent="0.25">
      <c r="C366" s="16"/>
    </row>
    <row r="367" spans="3:3" ht="13.2" x14ac:dyDescent="0.25">
      <c r="C367" s="16"/>
    </row>
    <row r="368" spans="3:3" ht="13.2" x14ac:dyDescent="0.25">
      <c r="C368" s="16"/>
    </row>
    <row r="369" spans="3:3" ht="13.2" x14ac:dyDescent="0.25">
      <c r="C369" s="16"/>
    </row>
    <row r="370" spans="3:3" ht="13.2" x14ac:dyDescent="0.25">
      <c r="C370" s="16"/>
    </row>
    <row r="371" spans="3:3" ht="13.2" x14ac:dyDescent="0.25">
      <c r="C371" s="16"/>
    </row>
    <row r="372" spans="3:3" ht="13.2" x14ac:dyDescent="0.25">
      <c r="C372" s="16"/>
    </row>
    <row r="373" spans="3:3" ht="13.2" x14ac:dyDescent="0.25">
      <c r="C373" s="16"/>
    </row>
    <row r="374" spans="3:3" ht="13.2" x14ac:dyDescent="0.25">
      <c r="C374" s="16"/>
    </row>
    <row r="375" spans="3:3" ht="13.2" x14ac:dyDescent="0.25">
      <c r="C375" s="16"/>
    </row>
    <row r="376" spans="3:3" ht="13.2" x14ac:dyDescent="0.25">
      <c r="C376" s="16"/>
    </row>
    <row r="377" spans="3:3" ht="13.2" x14ac:dyDescent="0.25">
      <c r="C377" s="16"/>
    </row>
    <row r="378" spans="3:3" ht="13.2" x14ac:dyDescent="0.25">
      <c r="C378" s="16"/>
    </row>
    <row r="379" spans="3:3" ht="13.2" x14ac:dyDescent="0.25">
      <c r="C379" s="16"/>
    </row>
    <row r="380" spans="3:3" ht="13.2" x14ac:dyDescent="0.25">
      <c r="C380" s="16"/>
    </row>
    <row r="381" spans="3:3" ht="13.2" x14ac:dyDescent="0.25">
      <c r="C381" s="16"/>
    </row>
    <row r="382" spans="3:3" ht="13.2" x14ac:dyDescent="0.25">
      <c r="C382" s="16"/>
    </row>
    <row r="383" spans="3:3" ht="13.2" x14ac:dyDescent="0.25">
      <c r="C383" s="16"/>
    </row>
    <row r="384" spans="3:3" ht="13.2" x14ac:dyDescent="0.25">
      <c r="C384" s="16"/>
    </row>
    <row r="385" spans="3:3" ht="13.2" x14ac:dyDescent="0.25">
      <c r="C385" s="16"/>
    </row>
    <row r="386" spans="3:3" ht="13.2" x14ac:dyDescent="0.25">
      <c r="C386" s="16"/>
    </row>
    <row r="387" spans="3:3" ht="13.2" x14ac:dyDescent="0.25">
      <c r="C387" s="16"/>
    </row>
    <row r="388" spans="3:3" ht="13.2" x14ac:dyDescent="0.25">
      <c r="C388" s="16"/>
    </row>
    <row r="389" spans="3:3" ht="13.2" x14ac:dyDescent="0.25">
      <c r="C389" s="16"/>
    </row>
    <row r="390" spans="3:3" ht="13.2" x14ac:dyDescent="0.25">
      <c r="C390" s="16"/>
    </row>
    <row r="391" spans="3:3" ht="13.2" x14ac:dyDescent="0.25">
      <c r="C391" s="16"/>
    </row>
    <row r="392" spans="3:3" ht="13.2" x14ac:dyDescent="0.25">
      <c r="C392" s="16"/>
    </row>
    <row r="393" spans="3:3" ht="13.2" x14ac:dyDescent="0.25">
      <c r="C393" s="16"/>
    </row>
    <row r="394" spans="3:3" ht="13.2" x14ac:dyDescent="0.25">
      <c r="C394" s="16"/>
    </row>
    <row r="395" spans="3:3" ht="13.2" x14ac:dyDescent="0.25">
      <c r="C395" s="16"/>
    </row>
    <row r="396" spans="3:3" ht="13.2" x14ac:dyDescent="0.25">
      <c r="C396" s="16"/>
    </row>
    <row r="397" spans="3:3" ht="13.2" x14ac:dyDescent="0.25">
      <c r="C397" s="16"/>
    </row>
    <row r="398" spans="3:3" ht="13.2" x14ac:dyDescent="0.25">
      <c r="C398" s="16"/>
    </row>
    <row r="399" spans="3:3" ht="13.2" x14ac:dyDescent="0.25">
      <c r="C399" s="16"/>
    </row>
    <row r="400" spans="3:3" ht="13.2" x14ac:dyDescent="0.25">
      <c r="C400" s="16"/>
    </row>
    <row r="401" spans="3:3" ht="13.2" x14ac:dyDescent="0.25">
      <c r="C401" s="16"/>
    </row>
    <row r="402" spans="3:3" ht="13.2" x14ac:dyDescent="0.25">
      <c r="C402" s="16"/>
    </row>
    <row r="403" spans="3:3" ht="13.2" x14ac:dyDescent="0.25">
      <c r="C403" s="16"/>
    </row>
    <row r="404" spans="3:3" ht="13.2" x14ac:dyDescent="0.25">
      <c r="C404" s="16"/>
    </row>
    <row r="405" spans="3:3" ht="13.2" x14ac:dyDescent="0.25">
      <c r="C405" s="16"/>
    </row>
    <row r="406" spans="3:3" ht="13.2" x14ac:dyDescent="0.25">
      <c r="C406" s="16"/>
    </row>
    <row r="407" spans="3:3" ht="13.2" x14ac:dyDescent="0.25">
      <c r="C407" s="16"/>
    </row>
    <row r="408" spans="3:3" ht="13.2" x14ac:dyDescent="0.25">
      <c r="C408" s="16"/>
    </row>
    <row r="409" spans="3:3" ht="13.2" x14ac:dyDescent="0.25">
      <c r="C409" s="16"/>
    </row>
    <row r="410" spans="3:3" ht="13.2" x14ac:dyDescent="0.25">
      <c r="C410" s="16"/>
    </row>
    <row r="411" spans="3:3" ht="13.2" x14ac:dyDescent="0.25">
      <c r="C411" s="16"/>
    </row>
    <row r="412" spans="3:3" ht="13.2" x14ac:dyDescent="0.25">
      <c r="C412" s="16"/>
    </row>
    <row r="413" spans="3:3" ht="13.2" x14ac:dyDescent="0.25">
      <c r="C413" s="16"/>
    </row>
    <row r="414" spans="3:3" ht="13.2" x14ac:dyDescent="0.25">
      <c r="C414" s="16"/>
    </row>
    <row r="415" spans="3:3" ht="13.2" x14ac:dyDescent="0.25">
      <c r="C415" s="16"/>
    </row>
    <row r="416" spans="3:3" ht="13.2" x14ac:dyDescent="0.25">
      <c r="C416" s="16"/>
    </row>
    <row r="417" spans="3:3" ht="13.2" x14ac:dyDescent="0.25">
      <c r="C417" s="16"/>
    </row>
    <row r="418" spans="3:3" ht="13.2" x14ac:dyDescent="0.25">
      <c r="C418" s="16"/>
    </row>
    <row r="419" spans="3:3" ht="13.2" x14ac:dyDescent="0.25">
      <c r="C419" s="16"/>
    </row>
    <row r="420" spans="3:3" ht="13.2" x14ac:dyDescent="0.25">
      <c r="C420" s="16"/>
    </row>
    <row r="421" spans="3:3" ht="13.2" x14ac:dyDescent="0.25">
      <c r="C421" s="16"/>
    </row>
    <row r="422" spans="3:3" ht="13.2" x14ac:dyDescent="0.25">
      <c r="C422" s="16"/>
    </row>
    <row r="423" spans="3:3" ht="13.2" x14ac:dyDescent="0.25">
      <c r="C423" s="16"/>
    </row>
    <row r="424" spans="3:3" ht="13.2" x14ac:dyDescent="0.25">
      <c r="C424" s="16"/>
    </row>
    <row r="425" spans="3:3" ht="13.2" x14ac:dyDescent="0.25">
      <c r="C425" s="16"/>
    </row>
    <row r="426" spans="3:3" ht="13.2" x14ac:dyDescent="0.25">
      <c r="C426" s="16"/>
    </row>
    <row r="427" spans="3:3" ht="13.2" x14ac:dyDescent="0.25">
      <c r="C427" s="16"/>
    </row>
    <row r="428" spans="3:3" ht="13.2" x14ac:dyDescent="0.25">
      <c r="C428" s="16"/>
    </row>
    <row r="429" spans="3:3" ht="13.2" x14ac:dyDescent="0.25">
      <c r="C429" s="16"/>
    </row>
    <row r="430" spans="3:3" ht="13.2" x14ac:dyDescent="0.25">
      <c r="C430" s="16"/>
    </row>
    <row r="431" spans="3:3" ht="13.2" x14ac:dyDescent="0.25">
      <c r="C431" s="16"/>
    </row>
    <row r="432" spans="3:3" ht="13.2" x14ac:dyDescent="0.25">
      <c r="C432" s="16"/>
    </row>
    <row r="433" spans="3:3" ht="13.2" x14ac:dyDescent="0.25">
      <c r="C433" s="16"/>
    </row>
    <row r="434" spans="3:3" ht="13.2" x14ac:dyDescent="0.25">
      <c r="C434" s="16"/>
    </row>
    <row r="435" spans="3:3" ht="13.2" x14ac:dyDescent="0.25">
      <c r="C435" s="16"/>
    </row>
    <row r="436" spans="3:3" ht="13.2" x14ac:dyDescent="0.25">
      <c r="C436" s="16"/>
    </row>
    <row r="437" spans="3:3" ht="13.2" x14ac:dyDescent="0.25">
      <c r="C437" s="16"/>
    </row>
    <row r="438" spans="3:3" ht="13.2" x14ac:dyDescent="0.25">
      <c r="C438" s="16"/>
    </row>
    <row r="439" spans="3:3" ht="13.2" x14ac:dyDescent="0.25">
      <c r="C439" s="16"/>
    </row>
    <row r="440" spans="3:3" ht="13.2" x14ac:dyDescent="0.25">
      <c r="C440" s="16"/>
    </row>
    <row r="441" spans="3:3" ht="13.2" x14ac:dyDescent="0.25">
      <c r="C441" s="16"/>
    </row>
    <row r="442" spans="3:3" ht="13.2" x14ac:dyDescent="0.25">
      <c r="C442" s="16"/>
    </row>
    <row r="443" spans="3:3" ht="13.2" x14ac:dyDescent="0.25">
      <c r="C443" s="16"/>
    </row>
    <row r="444" spans="3:3" ht="13.2" x14ac:dyDescent="0.25">
      <c r="C444" s="16"/>
    </row>
    <row r="445" spans="3:3" ht="13.2" x14ac:dyDescent="0.25">
      <c r="C445" s="16"/>
    </row>
    <row r="446" spans="3:3" ht="13.2" x14ac:dyDescent="0.25">
      <c r="C446" s="16"/>
    </row>
    <row r="447" spans="3:3" ht="13.2" x14ac:dyDescent="0.25">
      <c r="C447" s="16"/>
    </row>
    <row r="448" spans="3:3" ht="13.2" x14ac:dyDescent="0.25">
      <c r="C448" s="16"/>
    </row>
    <row r="449" spans="3:3" ht="13.2" x14ac:dyDescent="0.25">
      <c r="C449" s="16"/>
    </row>
    <row r="450" spans="3:3" ht="13.2" x14ac:dyDescent="0.25">
      <c r="C450" s="16"/>
    </row>
    <row r="451" spans="3:3" ht="13.2" x14ac:dyDescent="0.25">
      <c r="C451" s="16"/>
    </row>
    <row r="452" spans="3:3" ht="13.2" x14ac:dyDescent="0.25">
      <c r="C452" s="16"/>
    </row>
    <row r="453" spans="3:3" ht="13.2" x14ac:dyDescent="0.25">
      <c r="C453" s="16"/>
    </row>
    <row r="454" spans="3:3" ht="13.2" x14ac:dyDescent="0.25">
      <c r="C454" s="16"/>
    </row>
    <row r="455" spans="3:3" ht="13.2" x14ac:dyDescent="0.25">
      <c r="C455" s="16"/>
    </row>
    <row r="456" spans="3:3" ht="13.2" x14ac:dyDescent="0.25">
      <c r="C456" s="16"/>
    </row>
    <row r="457" spans="3:3" ht="13.2" x14ac:dyDescent="0.25">
      <c r="C457" s="16"/>
    </row>
    <row r="458" spans="3:3" ht="13.2" x14ac:dyDescent="0.25">
      <c r="C458" s="16"/>
    </row>
    <row r="459" spans="3:3" ht="13.2" x14ac:dyDescent="0.25">
      <c r="C459" s="16"/>
    </row>
    <row r="460" spans="3:3" ht="13.2" x14ac:dyDescent="0.25">
      <c r="C460" s="16"/>
    </row>
    <row r="461" spans="3:3" ht="13.2" x14ac:dyDescent="0.25">
      <c r="C461" s="16"/>
    </row>
    <row r="462" spans="3:3" ht="13.2" x14ac:dyDescent="0.25">
      <c r="C462" s="16"/>
    </row>
    <row r="463" spans="3:3" ht="13.2" x14ac:dyDescent="0.25">
      <c r="C463" s="16"/>
    </row>
    <row r="464" spans="3:3" ht="13.2" x14ac:dyDescent="0.25">
      <c r="C464" s="16"/>
    </row>
    <row r="465" spans="3:3" ht="13.2" x14ac:dyDescent="0.25">
      <c r="C465" s="16"/>
    </row>
    <row r="466" spans="3:3" ht="13.2" x14ac:dyDescent="0.25">
      <c r="C466" s="16"/>
    </row>
    <row r="467" spans="3:3" ht="13.2" x14ac:dyDescent="0.25">
      <c r="C467" s="16"/>
    </row>
    <row r="468" spans="3:3" ht="13.2" x14ac:dyDescent="0.25">
      <c r="C468" s="16"/>
    </row>
    <row r="469" spans="3:3" ht="13.2" x14ac:dyDescent="0.25">
      <c r="C469" s="16"/>
    </row>
    <row r="470" spans="3:3" ht="13.2" x14ac:dyDescent="0.25">
      <c r="C470" s="16"/>
    </row>
    <row r="471" spans="3:3" ht="13.2" x14ac:dyDescent="0.25">
      <c r="C471" s="16"/>
    </row>
    <row r="472" spans="3:3" ht="13.2" x14ac:dyDescent="0.25">
      <c r="C472" s="16"/>
    </row>
    <row r="473" spans="3:3" ht="13.2" x14ac:dyDescent="0.25">
      <c r="C473" s="16"/>
    </row>
    <row r="474" spans="3:3" ht="13.2" x14ac:dyDescent="0.25">
      <c r="C474" s="16"/>
    </row>
    <row r="475" spans="3:3" ht="13.2" x14ac:dyDescent="0.25">
      <c r="C475" s="16"/>
    </row>
    <row r="476" spans="3:3" ht="13.2" x14ac:dyDescent="0.25">
      <c r="C476" s="16"/>
    </row>
    <row r="477" spans="3:3" ht="13.2" x14ac:dyDescent="0.25">
      <c r="C477" s="16"/>
    </row>
    <row r="478" spans="3:3" ht="13.2" x14ac:dyDescent="0.25">
      <c r="C478" s="16"/>
    </row>
    <row r="479" spans="3:3" ht="13.2" x14ac:dyDescent="0.25">
      <c r="C479" s="16"/>
    </row>
    <row r="480" spans="3:3" ht="13.2" x14ac:dyDescent="0.25">
      <c r="C480" s="16"/>
    </row>
    <row r="481" spans="3:3" ht="13.2" x14ac:dyDescent="0.25">
      <c r="C481" s="16"/>
    </row>
    <row r="482" spans="3:3" ht="13.2" x14ac:dyDescent="0.25">
      <c r="C482" s="16"/>
    </row>
    <row r="483" spans="3:3" ht="13.2" x14ac:dyDescent="0.25">
      <c r="C483" s="16"/>
    </row>
    <row r="484" spans="3:3" ht="13.2" x14ac:dyDescent="0.25">
      <c r="C484" s="16"/>
    </row>
    <row r="485" spans="3:3" ht="13.2" x14ac:dyDescent="0.25">
      <c r="C485" s="16"/>
    </row>
    <row r="486" spans="3:3" ht="13.2" x14ac:dyDescent="0.25">
      <c r="C486" s="16"/>
    </row>
    <row r="487" spans="3:3" ht="13.2" x14ac:dyDescent="0.25">
      <c r="C487" s="16"/>
    </row>
    <row r="488" spans="3:3" ht="13.2" x14ac:dyDescent="0.25">
      <c r="C488" s="16"/>
    </row>
    <row r="489" spans="3:3" ht="13.2" x14ac:dyDescent="0.25">
      <c r="C489" s="16"/>
    </row>
    <row r="490" spans="3:3" ht="13.2" x14ac:dyDescent="0.25">
      <c r="C490" s="16"/>
    </row>
    <row r="491" spans="3:3" ht="13.2" x14ac:dyDescent="0.25">
      <c r="C491" s="16"/>
    </row>
    <row r="492" spans="3:3" ht="13.2" x14ac:dyDescent="0.25">
      <c r="C492" s="16"/>
    </row>
    <row r="493" spans="3:3" ht="13.2" x14ac:dyDescent="0.25">
      <c r="C493" s="16"/>
    </row>
    <row r="494" spans="3:3" ht="13.2" x14ac:dyDescent="0.25">
      <c r="C494" s="16"/>
    </row>
    <row r="495" spans="3:3" ht="13.2" x14ac:dyDescent="0.25">
      <c r="C495" s="16"/>
    </row>
    <row r="496" spans="3:3" ht="13.2" x14ac:dyDescent="0.25">
      <c r="C496" s="16"/>
    </row>
    <row r="497" spans="3:3" ht="13.2" x14ac:dyDescent="0.25">
      <c r="C497" s="16"/>
    </row>
    <row r="498" spans="3:3" ht="13.2" x14ac:dyDescent="0.25">
      <c r="C498" s="16"/>
    </row>
    <row r="499" spans="3:3" ht="13.2" x14ac:dyDescent="0.25">
      <c r="C499" s="16"/>
    </row>
    <row r="500" spans="3:3" ht="13.2" x14ac:dyDescent="0.25">
      <c r="C500" s="16"/>
    </row>
    <row r="501" spans="3:3" ht="13.2" x14ac:dyDescent="0.25">
      <c r="C501" s="16"/>
    </row>
    <row r="502" spans="3:3" ht="13.2" x14ac:dyDescent="0.25">
      <c r="C502" s="16"/>
    </row>
    <row r="503" spans="3:3" ht="13.2" x14ac:dyDescent="0.25">
      <c r="C503" s="16"/>
    </row>
    <row r="504" spans="3:3" ht="13.2" x14ac:dyDescent="0.25">
      <c r="C504" s="16"/>
    </row>
    <row r="505" spans="3:3" ht="13.2" x14ac:dyDescent="0.25">
      <c r="C505" s="16"/>
    </row>
    <row r="506" spans="3:3" ht="13.2" x14ac:dyDescent="0.25">
      <c r="C506" s="16"/>
    </row>
    <row r="507" spans="3:3" ht="13.2" x14ac:dyDescent="0.25">
      <c r="C507" s="16"/>
    </row>
    <row r="508" spans="3:3" ht="13.2" x14ac:dyDescent="0.25">
      <c r="C508" s="16"/>
    </row>
    <row r="509" spans="3:3" ht="13.2" x14ac:dyDescent="0.25">
      <c r="C509" s="16"/>
    </row>
    <row r="510" spans="3:3" ht="13.2" x14ac:dyDescent="0.25">
      <c r="C510" s="16"/>
    </row>
    <row r="511" spans="3:3" ht="13.2" x14ac:dyDescent="0.25">
      <c r="C511" s="16"/>
    </row>
    <row r="512" spans="3:3" ht="13.2" x14ac:dyDescent="0.25">
      <c r="C512" s="16"/>
    </row>
    <row r="513" spans="3:3" ht="13.2" x14ac:dyDescent="0.25">
      <c r="C513" s="16"/>
    </row>
    <row r="514" spans="3:3" ht="13.2" x14ac:dyDescent="0.25">
      <c r="C514" s="16"/>
    </row>
    <row r="515" spans="3:3" ht="13.2" x14ac:dyDescent="0.25">
      <c r="C515" s="16"/>
    </row>
    <row r="516" spans="3:3" ht="13.2" x14ac:dyDescent="0.25">
      <c r="C516" s="16"/>
    </row>
    <row r="517" spans="3:3" ht="13.2" x14ac:dyDescent="0.25">
      <c r="C517" s="16"/>
    </row>
    <row r="518" spans="3:3" ht="13.2" x14ac:dyDescent="0.25">
      <c r="C518" s="16"/>
    </row>
    <row r="519" spans="3:3" ht="13.2" x14ac:dyDescent="0.25">
      <c r="C519" s="16"/>
    </row>
    <row r="520" spans="3:3" ht="13.2" x14ac:dyDescent="0.25">
      <c r="C520" s="16"/>
    </row>
    <row r="521" spans="3:3" ht="13.2" x14ac:dyDescent="0.25">
      <c r="C521" s="16"/>
    </row>
    <row r="522" spans="3:3" ht="13.2" x14ac:dyDescent="0.25">
      <c r="C522" s="16"/>
    </row>
    <row r="523" spans="3:3" ht="13.2" x14ac:dyDescent="0.25">
      <c r="C523" s="16"/>
    </row>
    <row r="524" spans="3:3" ht="13.2" x14ac:dyDescent="0.25">
      <c r="C524" s="16"/>
    </row>
    <row r="525" spans="3:3" ht="13.2" x14ac:dyDescent="0.25">
      <c r="C525" s="16"/>
    </row>
    <row r="526" spans="3:3" ht="13.2" x14ac:dyDescent="0.25">
      <c r="C526" s="16"/>
    </row>
    <row r="527" spans="3:3" ht="13.2" x14ac:dyDescent="0.25">
      <c r="C527" s="16"/>
    </row>
    <row r="528" spans="3:3" ht="13.2" x14ac:dyDescent="0.25">
      <c r="C528" s="16"/>
    </row>
    <row r="529" spans="3:3" ht="13.2" x14ac:dyDescent="0.25">
      <c r="C529" s="16"/>
    </row>
    <row r="530" spans="3:3" ht="13.2" x14ac:dyDescent="0.25">
      <c r="C530" s="16"/>
    </row>
    <row r="531" spans="3:3" ht="13.2" x14ac:dyDescent="0.25">
      <c r="C531" s="16"/>
    </row>
    <row r="532" spans="3:3" ht="13.2" x14ac:dyDescent="0.25">
      <c r="C532" s="16"/>
    </row>
    <row r="533" spans="3:3" ht="13.2" x14ac:dyDescent="0.25">
      <c r="C533" s="16"/>
    </row>
    <row r="534" spans="3:3" ht="13.2" x14ac:dyDescent="0.25">
      <c r="C534" s="16"/>
    </row>
    <row r="535" spans="3:3" ht="13.2" x14ac:dyDescent="0.25">
      <c r="C535" s="16"/>
    </row>
    <row r="536" spans="3:3" ht="13.2" x14ac:dyDescent="0.25">
      <c r="C536" s="16"/>
    </row>
    <row r="537" spans="3:3" ht="13.2" x14ac:dyDescent="0.25">
      <c r="C537" s="16"/>
    </row>
    <row r="538" spans="3:3" ht="13.2" x14ac:dyDescent="0.25">
      <c r="C538" s="16"/>
    </row>
    <row r="539" spans="3:3" ht="13.2" x14ac:dyDescent="0.25">
      <c r="C539" s="16"/>
    </row>
    <row r="540" spans="3:3" ht="13.2" x14ac:dyDescent="0.25">
      <c r="C540" s="16"/>
    </row>
    <row r="541" spans="3:3" ht="13.2" x14ac:dyDescent="0.25">
      <c r="C541" s="16"/>
    </row>
    <row r="542" spans="3:3" ht="13.2" x14ac:dyDescent="0.25">
      <c r="C542" s="16"/>
    </row>
    <row r="543" spans="3:3" ht="13.2" x14ac:dyDescent="0.25">
      <c r="C543" s="16"/>
    </row>
    <row r="544" spans="3:3" ht="13.2" x14ac:dyDescent="0.25">
      <c r="C544" s="16"/>
    </row>
    <row r="545" spans="3:3" ht="13.2" x14ac:dyDescent="0.25">
      <c r="C545" s="16"/>
    </row>
    <row r="546" spans="3:3" ht="13.2" x14ac:dyDescent="0.25">
      <c r="C546" s="16"/>
    </row>
    <row r="547" spans="3:3" ht="13.2" x14ac:dyDescent="0.25">
      <c r="C547" s="16"/>
    </row>
    <row r="548" spans="3:3" ht="13.2" x14ac:dyDescent="0.25">
      <c r="C548" s="16"/>
    </row>
    <row r="549" spans="3:3" ht="13.2" x14ac:dyDescent="0.25">
      <c r="C549" s="16"/>
    </row>
    <row r="550" spans="3:3" ht="13.2" x14ac:dyDescent="0.25">
      <c r="C550" s="16"/>
    </row>
    <row r="551" spans="3:3" ht="13.2" x14ac:dyDescent="0.25">
      <c r="C551" s="16"/>
    </row>
    <row r="552" spans="3:3" ht="13.2" x14ac:dyDescent="0.25">
      <c r="C552" s="16"/>
    </row>
    <row r="553" spans="3:3" ht="13.2" x14ac:dyDescent="0.25">
      <c r="C553" s="16"/>
    </row>
    <row r="554" spans="3:3" ht="13.2" x14ac:dyDescent="0.25">
      <c r="C554" s="16"/>
    </row>
    <row r="555" spans="3:3" ht="13.2" x14ac:dyDescent="0.25">
      <c r="C555" s="16"/>
    </row>
    <row r="556" spans="3:3" ht="13.2" x14ac:dyDescent="0.25">
      <c r="C556" s="16"/>
    </row>
    <row r="557" spans="3:3" ht="13.2" x14ac:dyDescent="0.25">
      <c r="C557" s="16"/>
    </row>
    <row r="558" spans="3:3" ht="13.2" x14ac:dyDescent="0.25">
      <c r="C558" s="16"/>
    </row>
    <row r="559" spans="3:3" ht="13.2" x14ac:dyDescent="0.25">
      <c r="C559" s="16"/>
    </row>
    <row r="560" spans="3:3" ht="13.2" x14ac:dyDescent="0.25">
      <c r="C560" s="16"/>
    </row>
    <row r="561" spans="3:3" ht="13.2" x14ac:dyDescent="0.25">
      <c r="C561" s="16"/>
    </row>
    <row r="562" spans="3:3" ht="13.2" x14ac:dyDescent="0.25">
      <c r="C562" s="16"/>
    </row>
    <row r="563" spans="3:3" ht="13.2" x14ac:dyDescent="0.25">
      <c r="C563" s="16"/>
    </row>
    <row r="564" spans="3:3" ht="13.2" x14ac:dyDescent="0.25">
      <c r="C564" s="16"/>
    </row>
    <row r="565" spans="3:3" ht="13.2" x14ac:dyDescent="0.25">
      <c r="C565" s="16"/>
    </row>
    <row r="566" spans="3:3" ht="13.2" x14ac:dyDescent="0.25">
      <c r="C566" s="16"/>
    </row>
    <row r="567" spans="3:3" ht="13.2" x14ac:dyDescent="0.25">
      <c r="C567" s="16"/>
    </row>
    <row r="568" spans="3:3" ht="13.2" x14ac:dyDescent="0.25">
      <c r="C568" s="16"/>
    </row>
    <row r="569" spans="3:3" ht="13.2" x14ac:dyDescent="0.25">
      <c r="C569" s="16"/>
    </row>
    <row r="570" spans="3:3" ht="13.2" x14ac:dyDescent="0.25">
      <c r="C570" s="16"/>
    </row>
    <row r="571" spans="3:3" ht="13.2" x14ac:dyDescent="0.25">
      <c r="C571" s="16"/>
    </row>
    <row r="572" spans="3:3" ht="13.2" x14ac:dyDescent="0.25">
      <c r="C572" s="16"/>
    </row>
    <row r="573" spans="3:3" ht="13.2" x14ac:dyDescent="0.25">
      <c r="C573" s="16"/>
    </row>
    <row r="574" spans="3:3" ht="13.2" x14ac:dyDescent="0.25">
      <c r="C574" s="16"/>
    </row>
    <row r="575" spans="3:3" ht="13.2" x14ac:dyDescent="0.25">
      <c r="C575" s="16"/>
    </row>
    <row r="576" spans="3:3" ht="13.2" x14ac:dyDescent="0.25">
      <c r="C576" s="16"/>
    </row>
    <row r="577" spans="3:3" ht="13.2" x14ac:dyDescent="0.25">
      <c r="C577" s="16"/>
    </row>
    <row r="578" spans="3:3" ht="13.2" x14ac:dyDescent="0.25">
      <c r="C578" s="16"/>
    </row>
    <row r="579" spans="3:3" ht="13.2" x14ac:dyDescent="0.25">
      <c r="C579" s="16"/>
    </row>
    <row r="580" spans="3:3" ht="13.2" x14ac:dyDescent="0.25">
      <c r="C580" s="16"/>
    </row>
    <row r="581" spans="3:3" ht="13.2" x14ac:dyDescent="0.25">
      <c r="C581" s="16"/>
    </row>
    <row r="582" spans="3:3" ht="13.2" x14ac:dyDescent="0.25">
      <c r="C582" s="16"/>
    </row>
    <row r="583" spans="3:3" ht="13.2" x14ac:dyDescent="0.25">
      <c r="C583" s="16"/>
    </row>
    <row r="584" spans="3:3" ht="13.2" x14ac:dyDescent="0.25">
      <c r="C584" s="16"/>
    </row>
    <row r="585" spans="3:3" ht="13.2" x14ac:dyDescent="0.25">
      <c r="C585" s="16"/>
    </row>
    <row r="586" spans="3:3" ht="13.2" x14ac:dyDescent="0.25">
      <c r="C586" s="16"/>
    </row>
    <row r="587" spans="3:3" ht="13.2" x14ac:dyDescent="0.25">
      <c r="C587" s="16"/>
    </row>
    <row r="588" spans="3:3" ht="13.2" x14ac:dyDescent="0.25">
      <c r="C588" s="16"/>
    </row>
    <row r="589" spans="3:3" ht="13.2" x14ac:dyDescent="0.25">
      <c r="C589" s="16"/>
    </row>
    <row r="590" spans="3:3" ht="13.2" x14ac:dyDescent="0.25">
      <c r="C590" s="16"/>
    </row>
    <row r="591" spans="3:3" ht="13.2" x14ac:dyDescent="0.25">
      <c r="C591" s="16"/>
    </row>
    <row r="592" spans="3:3" ht="13.2" x14ac:dyDescent="0.25">
      <c r="C592" s="16"/>
    </row>
    <row r="593" spans="3:3" ht="13.2" x14ac:dyDescent="0.25">
      <c r="C593" s="16"/>
    </row>
    <row r="594" spans="3:3" ht="13.2" x14ac:dyDescent="0.25">
      <c r="C594" s="16"/>
    </row>
    <row r="595" spans="3:3" ht="13.2" x14ac:dyDescent="0.25">
      <c r="C595" s="16"/>
    </row>
    <row r="596" spans="3:3" ht="13.2" x14ac:dyDescent="0.25">
      <c r="C596" s="16"/>
    </row>
    <row r="597" spans="3:3" ht="13.2" x14ac:dyDescent="0.25">
      <c r="C597" s="16"/>
    </row>
    <row r="598" spans="3:3" ht="13.2" x14ac:dyDescent="0.25">
      <c r="C598" s="16"/>
    </row>
    <row r="599" spans="3:3" ht="13.2" x14ac:dyDescent="0.25">
      <c r="C599" s="16"/>
    </row>
    <row r="600" spans="3:3" ht="13.2" x14ac:dyDescent="0.25">
      <c r="C600" s="16"/>
    </row>
    <row r="601" spans="3:3" ht="13.2" x14ac:dyDescent="0.25">
      <c r="C601" s="16"/>
    </row>
    <row r="602" spans="3:3" ht="13.2" x14ac:dyDescent="0.25">
      <c r="C602" s="16"/>
    </row>
    <row r="603" spans="3:3" ht="13.2" x14ac:dyDescent="0.25">
      <c r="C603" s="16"/>
    </row>
    <row r="604" spans="3:3" ht="13.2" x14ac:dyDescent="0.25">
      <c r="C604" s="16"/>
    </row>
    <row r="605" spans="3:3" ht="13.2" x14ac:dyDescent="0.25">
      <c r="C605" s="16"/>
    </row>
    <row r="606" spans="3:3" ht="13.2" x14ac:dyDescent="0.25">
      <c r="C606" s="16"/>
    </row>
    <row r="607" spans="3:3" ht="13.2" x14ac:dyDescent="0.25">
      <c r="C607" s="16"/>
    </row>
    <row r="608" spans="3:3" ht="13.2" x14ac:dyDescent="0.25">
      <c r="C608" s="16"/>
    </row>
    <row r="609" spans="3:3" ht="13.2" x14ac:dyDescent="0.25">
      <c r="C609" s="16"/>
    </row>
    <row r="610" spans="3:3" ht="13.2" x14ac:dyDescent="0.25">
      <c r="C610" s="16"/>
    </row>
    <row r="611" spans="3:3" ht="13.2" x14ac:dyDescent="0.25">
      <c r="C611" s="16"/>
    </row>
    <row r="612" spans="3:3" ht="13.2" x14ac:dyDescent="0.25">
      <c r="C612" s="16"/>
    </row>
    <row r="613" spans="3:3" ht="13.2" x14ac:dyDescent="0.25">
      <c r="C613" s="16"/>
    </row>
    <row r="614" spans="3:3" ht="13.2" x14ac:dyDescent="0.25">
      <c r="C614" s="16"/>
    </row>
    <row r="615" spans="3:3" ht="13.2" x14ac:dyDescent="0.25">
      <c r="C615" s="16"/>
    </row>
    <row r="616" spans="3:3" ht="13.2" x14ac:dyDescent="0.25">
      <c r="C616" s="16"/>
    </row>
    <row r="617" spans="3:3" ht="13.2" x14ac:dyDescent="0.25">
      <c r="C617" s="16"/>
    </row>
    <row r="618" spans="3:3" ht="13.2" x14ac:dyDescent="0.25">
      <c r="C618" s="16"/>
    </row>
    <row r="619" spans="3:3" ht="13.2" x14ac:dyDescent="0.25">
      <c r="C619" s="16"/>
    </row>
    <row r="620" spans="3:3" ht="13.2" x14ac:dyDescent="0.25">
      <c r="C620" s="16"/>
    </row>
    <row r="621" spans="3:3" ht="13.2" x14ac:dyDescent="0.25">
      <c r="C621" s="16"/>
    </row>
    <row r="622" spans="3:3" ht="13.2" x14ac:dyDescent="0.25">
      <c r="C622" s="16"/>
    </row>
    <row r="623" spans="3:3" ht="13.2" x14ac:dyDescent="0.25">
      <c r="C623" s="16"/>
    </row>
    <row r="624" spans="3:3" ht="13.2" x14ac:dyDescent="0.25">
      <c r="C624" s="16"/>
    </row>
    <row r="625" spans="3:3" ht="13.2" x14ac:dyDescent="0.25">
      <c r="C625" s="16"/>
    </row>
    <row r="626" spans="3:3" ht="13.2" x14ac:dyDescent="0.25">
      <c r="C626" s="16"/>
    </row>
    <row r="627" spans="3:3" ht="13.2" x14ac:dyDescent="0.25">
      <c r="C627" s="16"/>
    </row>
    <row r="628" spans="3:3" ht="13.2" x14ac:dyDescent="0.25">
      <c r="C628" s="16"/>
    </row>
    <row r="629" spans="3:3" ht="13.2" x14ac:dyDescent="0.25">
      <c r="C629" s="16"/>
    </row>
    <row r="630" spans="3:3" ht="13.2" x14ac:dyDescent="0.25">
      <c r="C630" s="16"/>
    </row>
    <row r="631" spans="3:3" ht="13.2" x14ac:dyDescent="0.25">
      <c r="C631" s="16"/>
    </row>
    <row r="632" spans="3:3" ht="13.2" x14ac:dyDescent="0.25">
      <c r="C632" s="16"/>
    </row>
    <row r="633" spans="3:3" ht="13.2" x14ac:dyDescent="0.25">
      <c r="C633" s="16"/>
    </row>
    <row r="634" spans="3:3" ht="13.2" x14ac:dyDescent="0.25">
      <c r="C634" s="16"/>
    </row>
    <row r="635" spans="3:3" ht="13.2" x14ac:dyDescent="0.25">
      <c r="C635" s="16"/>
    </row>
    <row r="636" spans="3:3" ht="13.2" x14ac:dyDescent="0.25">
      <c r="C636" s="16"/>
    </row>
    <row r="637" spans="3:3" ht="13.2" x14ac:dyDescent="0.25">
      <c r="C637" s="16"/>
    </row>
    <row r="638" spans="3:3" ht="13.2" x14ac:dyDescent="0.25">
      <c r="C638" s="16"/>
    </row>
    <row r="639" spans="3:3" ht="13.2" x14ac:dyDescent="0.25">
      <c r="C639" s="16"/>
    </row>
    <row r="640" spans="3:3" ht="13.2" x14ac:dyDescent="0.25">
      <c r="C640" s="16"/>
    </row>
    <row r="641" spans="3:3" ht="13.2" x14ac:dyDescent="0.25">
      <c r="C641" s="16"/>
    </row>
    <row r="642" spans="3:3" ht="13.2" x14ac:dyDescent="0.25">
      <c r="C642" s="16"/>
    </row>
    <row r="643" spans="3:3" ht="13.2" x14ac:dyDescent="0.25">
      <c r="C643" s="16"/>
    </row>
    <row r="644" spans="3:3" ht="13.2" x14ac:dyDescent="0.25">
      <c r="C644" s="16"/>
    </row>
    <row r="645" spans="3:3" ht="13.2" x14ac:dyDescent="0.25">
      <c r="C645" s="16"/>
    </row>
    <row r="646" spans="3:3" ht="13.2" x14ac:dyDescent="0.25">
      <c r="C646" s="16"/>
    </row>
    <row r="647" spans="3:3" ht="13.2" x14ac:dyDescent="0.25">
      <c r="C647" s="16"/>
    </row>
    <row r="648" spans="3:3" ht="13.2" x14ac:dyDescent="0.25">
      <c r="C648" s="16"/>
    </row>
    <row r="649" spans="3:3" ht="13.2" x14ac:dyDescent="0.25">
      <c r="C649" s="16"/>
    </row>
    <row r="650" spans="3:3" ht="13.2" x14ac:dyDescent="0.25">
      <c r="C650" s="16"/>
    </row>
    <row r="651" spans="3:3" ht="13.2" x14ac:dyDescent="0.25">
      <c r="C651" s="16"/>
    </row>
    <row r="652" spans="3:3" ht="13.2" x14ac:dyDescent="0.25">
      <c r="C652" s="16"/>
    </row>
    <row r="653" spans="3:3" ht="13.2" x14ac:dyDescent="0.25">
      <c r="C653" s="16"/>
    </row>
    <row r="654" spans="3:3" ht="13.2" x14ac:dyDescent="0.25">
      <c r="C654" s="16"/>
    </row>
    <row r="655" spans="3:3" ht="13.2" x14ac:dyDescent="0.25">
      <c r="C655" s="16"/>
    </row>
    <row r="656" spans="3:3" ht="13.2" x14ac:dyDescent="0.25">
      <c r="C656" s="16"/>
    </row>
    <row r="657" spans="3:3" ht="13.2" x14ac:dyDescent="0.25">
      <c r="C657" s="16"/>
    </row>
    <row r="658" spans="3:3" ht="13.2" x14ac:dyDescent="0.25">
      <c r="C658" s="16"/>
    </row>
    <row r="659" spans="3:3" ht="13.2" x14ac:dyDescent="0.25">
      <c r="C659" s="16"/>
    </row>
    <row r="660" spans="3:3" ht="13.2" x14ac:dyDescent="0.25">
      <c r="C660" s="16"/>
    </row>
    <row r="661" spans="3:3" ht="13.2" x14ac:dyDescent="0.25">
      <c r="C661" s="16"/>
    </row>
    <row r="662" spans="3:3" ht="13.2" x14ac:dyDescent="0.25">
      <c r="C662" s="16"/>
    </row>
    <row r="663" spans="3:3" ht="13.2" x14ac:dyDescent="0.25">
      <c r="C663" s="16"/>
    </row>
    <row r="664" spans="3:3" ht="13.2" x14ac:dyDescent="0.25">
      <c r="C664" s="16"/>
    </row>
    <row r="665" spans="3:3" ht="13.2" x14ac:dyDescent="0.25">
      <c r="C665" s="16"/>
    </row>
    <row r="666" spans="3:3" ht="13.2" x14ac:dyDescent="0.25">
      <c r="C666" s="16"/>
    </row>
    <row r="667" spans="3:3" ht="13.2" x14ac:dyDescent="0.25">
      <c r="C667" s="16"/>
    </row>
    <row r="668" spans="3:3" ht="13.2" x14ac:dyDescent="0.25">
      <c r="C668" s="16"/>
    </row>
    <row r="669" spans="3:3" ht="13.2" x14ac:dyDescent="0.25">
      <c r="C669" s="16"/>
    </row>
    <row r="670" spans="3:3" ht="13.2" x14ac:dyDescent="0.25">
      <c r="C670" s="16"/>
    </row>
    <row r="671" spans="3:3" ht="13.2" x14ac:dyDescent="0.25">
      <c r="C671" s="16"/>
    </row>
    <row r="672" spans="3:3" ht="13.2" x14ac:dyDescent="0.25">
      <c r="C672" s="16"/>
    </row>
    <row r="673" spans="3:3" ht="13.2" x14ac:dyDescent="0.25">
      <c r="C673" s="16"/>
    </row>
    <row r="674" spans="3:3" ht="13.2" x14ac:dyDescent="0.25">
      <c r="C674" s="16"/>
    </row>
    <row r="675" spans="3:3" ht="13.2" x14ac:dyDescent="0.25">
      <c r="C675" s="16"/>
    </row>
    <row r="676" spans="3:3" ht="13.2" x14ac:dyDescent="0.25">
      <c r="C676" s="16"/>
    </row>
    <row r="677" spans="3:3" ht="13.2" x14ac:dyDescent="0.25">
      <c r="C677" s="16"/>
    </row>
    <row r="678" spans="3:3" ht="13.2" x14ac:dyDescent="0.25">
      <c r="C678" s="16"/>
    </row>
    <row r="679" spans="3:3" ht="13.2" x14ac:dyDescent="0.25">
      <c r="C679" s="16"/>
    </row>
    <row r="680" spans="3:3" ht="13.2" x14ac:dyDescent="0.25">
      <c r="C680" s="16"/>
    </row>
    <row r="681" spans="3:3" ht="13.2" x14ac:dyDescent="0.25">
      <c r="C681" s="16"/>
    </row>
    <row r="682" spans="3:3" ht="13.2" x14ac:dyDescent="0.25">
      <c r="C682" s="16"/>
    </row>
    <row r="683" spans="3:3" ht="13.2" x14ac:dyDescent="0.25">
      <c r="C683" s="16"/>
    </row>
    <row r="684" spans="3:3" ht="13.2" x14ac:dyDescent="0.25">
      <c r="C684" s="16"/>
    </row>
    <row r="685" spans="3:3" ht="13.2" x14ac:dyDescent="0.25">
      <c r="C685" s="16"/>
    </row>
    <row r="686" spans="3:3" ht="13.2" x14ac:dyDescent="0.25">
      <c r="C686" s="16"/>
    </row>
    <row r="687" spans="3:3" ht="13.2" x14ac:dyDescent="0.25">
      <c r="C687" s="16"/>
    </row>
    <row r="688" spans="3:3" ht="13.2" x14ac:dyDescent="0.25">
      <c r="C688" s="16"/>
    </row>
    <row r="689" spans="3:3" ht="13.2" x14ac:dyDescent="0.25">
      <c r="C689" s="16"/>
    </row>
    <row r="690" spans="3:3" ht="13.2" x14ac:dyDescent="0.25">
      <c r="C690" s="16"/>
    </row>
    <row r="691" spans="3:3" ht="13.2" x14ac:dyDescent="0.25">
      <c r="C691" s="16"/>
    </row>
    <row r="692" spans="3:3" ht="13.2" x14ac:dyDescent="0.25">
      <c r="C692" s="16"/>
    </row>
    <row r="693" spans="3:3" ht="13.2" x14ac:dyDescent="0.25">
      <c r="C693" s="16"/>
    </row>
    <row r="694" spans="3:3" ht="13.2" x14ac:dyDescent="0.25">
      <c r="C694" s="16"/>
    </row>
    <row r="695" spans="3:3" ht="13.2" x14ac:dyDescent="0.25">
      <c r="C695" s="16"/>
    </row>
    <row r="696" spans="3:3" ht="13.2" x14ac:dyDescent="0.25">
      <c r="C696" s="16"/>
    </row>
    <row r="697" spans="3:3" ht="13.2" x14ac:dyDescent="0.25">
      <c r="C697" s="16"/>
    </row>
    <row r="698" spans="3:3" ht="13.2" x14ac:dyDescent="0.25">
      <c r="C698" s="16"/>
    </row>
    <row r="699" spans="3:3" ht="13.2" x14ac:dyDescent="0.25">
      <c r="C699" s="16"/>
    </row>
    <row r="700" spans="3:3" ht="13.2" x14ac:dyDescent="0.25">
      <c r="C700" s="16"/>
    </row>
    <row r="701" spans="3:3" ht="13.2" x14ac:dyDescent="0.25">
      <c r="C701" s="16"/>
    </row>
    <row r="702" spans="3:3" ht="13.2" x14ac:dyDescent="0.25">
      <c r="C702" s="16"/>
    </row>
    <row r="703" spans="3:3" ht="13.2" x14ac:dyDescent="0.25">
      <c r="C703" s="16"/>
    </row>
    <row r="704" spans="3:3" ht="13.2" x14ac:dyDescent="0.25">
      <c r="C704" s="16"/>
    </row>
    <row r="705" spans="3:3" ht="13.2" x14ac:dyDescent="0.25">
      <c r="C705" s="16"/>
    </row>
    <row r="706" spans="3:3" ht="13.2" x14ac:dyDescent="0.25">
      <c r="C706" s="16"/>
    </row>
    <row r="707" spans="3:3" ht="13.2" x14ac:dyDescent="0.25">
      <c r="C707" s="16"/>
    </row>
    <row r="708" spans="3:3" ht="13.2" x14ac:dyDescent="0.25">
      <c r="C708" s="16"/>
    </row>
    <row r="709" spans="3:3" ht="13.2" x14ac:dyDescent="0.25">
      <c r="C709" s="16"/>
    </row>
    <row r="710" spans="3:3" ht="13.2" x14ac:dyDescent="0.25">
      <c r="C710" s="16"/>
    </row>
    <row r="711" spans="3:3" ht="13.2" x14ac:dyDescent="0.25">
      <c r="C711" s="16"/>
    </row>
    <row r="712" spans="3:3" ht="13.2" x14ac:dyDescent="0.25">
      <c r="C712" s="16"/>
    </row>
    <row r="713" spans="3:3" ht="13.2" x14ac:dyDescent="0.25">
      <c r="C713" s="16"/>
    </row>
    <row r="714" spans="3:3" ht="13.2" x14ac:dyDescent="0.25">
      <c r="C714" s="16"/>
    </row>
    <row r="715" spans="3:3" ht="13.2" x14ac:dyDescent="0.25">
      <c r="C715" s="16"/>
    </row>
    <row r="716" spans="3:3" ht="13.2" x14ac:dyDescent="0.25">
      <c r="C716" s="16"/>
    </row>
    <row r="717" spans="3:3" ht="13.2" x14ac:dyDescent="0.25">
      <c r="C717" s="16"/>
    </row>
    <row r="718" spans="3:3" ht="13.2" x14ac:dyDescent="0.25">
      <c r="C718" s="16"/>
    </row>
    <row r="719" spans="3:3" ht="13.2" x14ac:dyDescent="0.25">
      <c r="C719" s="16"/>
    </row>
    <row r="720" spans="3:3" ht="13.2" x14ac:dyDescent="0.25">
      <c r="C720" s="16"/>
    </row>
    <row r="721" spans="3:3" ht="13.2" x14ac:dyDescent="0.25">
      <c r="C721" s="16"/>
    </row>
    <row r="722" spans="3:3" ht="13.2" x14ac:dyDescent="0.25">
      <c r="C722" s="16"/>
    </row>
    <row r="723" spans="3:3" ht="13.2" x14ac:dyDescent="0.25">
      <c r="C723" s="16"/>
    </row>
    <row r="724" spans="3:3" ht="13.2" x14ac:dyDescent="0.25">
      <c r="C724" s="16"/>
    </row>
    <row r="725" spans="3:3" ht="13.2" x14ac:dyDescent="0.25">
      <c r="C725" s="16"/>
    </row>
    <row r="726" spans="3:3" ht="13.2" x14ac:dyDescent="0.25">
      <c r="C726" s="16"/>
    </row>
    <row r="727" spans="3:3" ht="13.2" x14ac:dyDescent="0.25">
      <c r="C727" s="16"/>
    </row>
    <row r="728" spans="3:3" ht="13.2" x14ac:dyDescent="0.25">
      <c r="C728" s="16"/>
    </row>
    <row r="729" spans="3:3" ht="13.2" x14ac:dyDescent="0.25">
      <c r="C729" s="16"/>
    </row>
    <row r="730" spans="3:3" ht="13.2" x14ac:dyDescent="0.25">
      <c r="C730" s="16"/>
    </row>
    <row r="731" spans="3:3" ht="13.2" x14ac:dyDescent="0.25">
      <c r="C731" s="16"/>
    </row>
    <row r="732" spans="3:3" ht="13.2" x14ac:dyDescent="0.25">
      <c r="C732" s="16"/>
    </row>
    <row r="733" spans="3:3" ht="13.2" x14ac:dyDescent="0.25">
      <c r="C733" s="16"/>
    </row>
    <row r="734" spans="3:3" ht="13.2" x14ac:dyDescent="0.25">
      <c r="C734" s="16"/>
    </row>
    <row r="735" spans="3:3" ht="13.2" x14ac:dyDescent="0.25">
      <c r="C735" s="16"/>
    </row>
    <row r="736" spans="3:3" ht="13.2" x14ac:dyDescent="0.25">
      <c r="C736" s="16"/>
    </row>
    <row r="737" spans="3:3" ht="13.2" x14ac:dyDescent="0.25">
      <c r="C737" s="16"/>
    </row>
    <row r="738" spans="3:3" ht="13.2" x14ac:dyDescent="0.25">
      <c r="C738" s="16"/>
    </row>
    <row r="739" spans="3:3" ht="13.2" x14ac:dyDescent="0.25">
      <c r="C739" s="16"/>
    </row>
    <row r="740" spans="3:3" ht="13.2" x14ac:dyDescent="0.25">
      <c r="C740" s="16"/>
    </row>
    <row r="741" spans="3:3" ht="13.2" x14ac:dyDescent="0.25">
      <c r="C741" s="16"/>
    </row>
    <row r="742" spans="3:3" ht="13.2" x14ac:dyDescent="0.25">
      <c r="C742" s="16"/>
    </row>
    <row r="743" spans="3:3" ht="13.2" x14ac:dyDescent="0.25">
      <c r="C743" s="16"/>
    </row>
    <row r="744" spans="3:3" ht="13.2" x14ac:dyDescent="0.25">
      <c r="C744" s="16"/>
    </row>
    <row r="745" spans="3:3" ht="13.2" x14ac:dyDescent="0.25">
      <c r="C745" s="16"/>
    </row>
    <row r="746" spans="3:3" ht="13.2" x14ac:dyDescent="0.25">
      <c r="C746" s="16"/>
    </row>
    <row r="747" spans="3:3" ht="13.2" x14ac:dyDescent="0.25">
      <c r="C747" s="16"/>
    </row>
    <row r="748" spans="3:3" ht="13.2" x14ac:dyDescent="0.25">
      <c r="C748" s="16"/>
    </row>
    <row r="749" spans="3:3" ht="13.2" x14ac:dyDescent="0.25">
      <c r="C749" s="16"/>
    </row>
    <row r="750" spans="3:3" ht="13.2" x14ac:dyDescent="0.25">
      <c r="C750" s="16"/>
    </row>
    <row r="751" spans="3:3" ht="13.2" x14ac:dyDescent="0.25">
      <c r="C751" s="16"/>
    </row>
    <row r="752" spans="3:3" ht="13.2" x14ac:dyDescent="0.25">
      <c r="C752" s="16"/>
    </row>
    <row r="753" spans="3:3" ht="13.2" x14ac:dyDescent="0.25">
      <c r="C753" s="16"/>
    </row>
    <row r="754" spans="3:3" ht="13.2" x14ac:dyDescent="0.25">
      <c r="C754" s="16"/>
    </row>
    <row r="755" spans="3:3" ht="13.2" x14ac:dyDescent="0.25">
      <c r="C755" s="16"/>
    </row>
    <row r="756" spans="3:3" ht="13.2" x14ac:dyDescent="0.25">
      <c r="C756" s="16"/>
    </row>
    <row r="757" spans="3:3" ht="13.2" x14ac:dyDescent="0.25">
      <c r="C757" s="16"/>
    </row>
    <row r="758" spans="3:3" ht="13.2" x14ac:dyDescent="0.25">
      <c r="C758" s="16"/>
    </row>
    <row r="759" spans="3:3" ht="13.2" x14ac:dyDescent="0.25">
      <c r="C759" s="16"/>
    </row>
    <row r="760" spans="3:3" ht="13.2" x14ac:dyDescent="0.25">
      <c r="C760" s="16"/>
    </row>
    <row r="761" spans="3:3" ht="13.2" x14ac:dyDescent="0.25">
      <c r="C761" s="16"/>
    </row>
    <row r="762" spans="3:3" ht="13.2" x14ac:dyDescent="0.25">
      <c r="C762" s="16"/>
    </row>
    <row r="763" spans="3:3" ht="13.2" x14ac:dyDescent="0.25">
      <c r="C763" s="16"/>
    </row>
    <row r="764" spans="3:3" ht="13.2" x14ac:dyDescent="0.25">
      <c r="C764" s="16"/>
    </row>
    <row r="765" spans="3:3" ht="13.2" x14ac:dyDescent="0.25">
      <c r="C765" s="16"/>
    </row>
    <row r="766" spans="3:3" ht="13.2" x14ac:dyDescent="0.25">
      <c r="C766" s="16"/>
    </row>
    <row r="767" spans="3:3" ht="13.2" x14ac:dyDescent="0.25">
      <c r="C767" s="16"/>
    </row>
    <row r="768" spans="3:3" ht="13.2" x14ac:dyDescent="0.25">
      <c r="C768" s="16"/>
    </row>
    <row r="769" spans="3:3" ht="13.2" x14ac:dyDescent="0.25">
      <c r="C769" s="16"/>
    </row>
    <row r="770" spans="3:3" ht="13.2" x14ac:dyDescent="0.25">
      <c r="C770" s="16"/>
    </row>
    <row r="771" spans="3:3" ht="13.2" x14ac:dyDescent="0.25">
      <c r="C771" s="16"/>
    </row>
    <row r="772" spans="3:3" ht="13.2" x14ac:dyDescent="0.25">
      <c r="C772" s="16"/>
    </row>
    <row r="773" spans="3:3" ht="13.2" x14ac:dyDescent="0.25">
      <c r="C773" s="16"/>
    </row>
    <row r="774" spans="3:3" ht="13.2" x14ac:dyDescent="0.25">
      <c r="C774" s="16"/>
    </row>
    <row r="775" spans="3:3" ht="13.2" x14ac:dyDescent="0.25">
      <c r="C775" s="16"/>
    </row>
    <row r="776" spans="3:3" ht="13.2" x14ac:dyDescent="0.25">
      <c r="C776" s="16"/>
    </row>
    <row r="777" spans="3:3" ht="13.2" x14ac:dyDescent="0.25">
      <c r="C777" s="16"/>
    </row>
    <row r="778" spans="3:3" ht="13.2" x14ac:dyDescent="0.25">
      <c r="C778" s="16"/>
    </row>
    <row r="779" spans="3:3" ht="13.2" x14ac:dyDescent="0.25">
      <c r="C779" s="16"/>
    </row>
    <row r="780" spans="3:3" ht="13.2" x14ac:dyDescent="0.25">
      <c r="C780" s="16"/>
    </row>
    <row r="781" spans="3:3" ht="13.2" x14ac:dyDescent="0.25">
      <c r="C781" s="16"/>
    </row>
    <row r="782" spans="3:3" ht="13.2" x14ac:dyDescent="0.25">
      <c r="C782" s="16"/>
    </row>
    <row r="783" spans="3:3" ht="13.2" x14ac:dyDescent="0.25">
      <c r="C783" s="16"/>
    </row>
    <row r="784" spans="3:3" ht="13.2" x14ac:dyDescent="0.25">
      <c r="C784" s="16"/>
    </row>
    <row r="785" spans="3:3" ht="13.2" x14ac:dyDescent="0.25">
      <c r="C785" s="16"/>
    </row>
    <row r="786" spans="3:3" ht="13.2" x14ac:dyDescent="0.25">
      <c r="C786" s="16"/>
    </row>
    <row r="787" spans="3:3" ht="13.2" x14ac:dyDescent="0.25">
      <c r="C787" s="16"/>
    </row>
    <row r="788" spans="3:3" ht="13.2" x14ac:dyDescent="0.25">
      <c r="C788" s="16"/>
    </row>
    <row r="789" spans="3:3" ht="13.2" x14ac:dyDescent="0.25">
      <c r="C789" s="16"/>
    </row>
    <row r="790" spans="3:3" ht="13.2" x14ac:dyDescent="0.25">
      <c r="C790" s="16"/>
    </row>
    <row r="791" spans="3:3" ht="13.2" x14ac:dyDescent="0.25">
      <c r="C791" s="16"/>
    </row>
    <row r="792" spans="3:3" ht="13.2" x14ac:dyDescent="0.25">
      <c r="C792" s="16"/>
    </row>
    <row r="793" spans="3:3" ht="13.2" x14ac:dyDescent="0.25">
      <c r="C793" s="16"/>
    </row>
    <row r="794" spans="3:3" ht="13.2" x14ac:dyDescent="0.25">
      <c r="C794" s="16"/>
    </row>
    <row r="795" spans="3:3" ht="13.2" x14ac:dyDescent="0.25">
      <c r="C795" s="16"/>
    </row>
    <row r="796" spans="3:3" ht="13.2" x14ac:dyDescent="0.25">
      <c r="C796" s="16"/>
    </row>
    <row r="797" spans="3:3" ht="13.2" x14ac:dyDescent="0.25">
      <c r="C797" s="16"/>
    </row>
    <row r="798" spans="3:3" ht="13.2" x14ac:dyDescent="0.25">
      <c r="C798" s="16"/>
    </row>
    <row r="799" spans="3:3" ht="13.2" x14ac:dyDescent="0.25">
      <c r="C799" s="16"/>
    </row>
    <row r="800" spans="3:3" ht="13.2" x14ac:dyDescent="0.25">
      <c r="C800" s="16"/>
    </row>
    <row r="801" spans="3:3" ht="13.2" x14ac:dyDescent="0.25">
      <c r="C801" s="16"/>
    </row>
    <row r="802" spans="3:3" ht="13.2" x14ac:dyDescent="0.25">
      <c r="C802" s="16"/>
    </row>
    <row r="803" spans="3:3" ht="13.2" x14ac:dyDescent="0.25">
      <c r="C803" s="16"/>
    </row>
    <row r="804" spans="3:3" ht="13.2" x14ac:dyDescent="0.25">
      <c r="C804" s="16"/>
    </row>
    <row r="805" spans="3:3" ht="13.2" x14ac:dyDescent="0.25">
      <c r="C805" s="16"/>
    </row>
    <row r="806" spans="3:3" ht="13.2" x14ac:dyDescent="0.25">
      <c r="C806" s="16"/>
    </row>
    <row r="807" spans="3:3" ht="13.2" x14ac:dyDescent="0.25">
      <c r="C807" s="16"/>
    </row>
    <row r="808" spans="3:3" ht="13.2" x14ac:dyDescent="0.25">
      <c r="C808" s="16"/>
    </row>
    <row r="809" spans="3:3" ht="13.2" x14ac:dyDescent="0.25">
      <c r="C809" s="16"/>
    </row>
    <row r="810" spans="3:3" ht="13.2" x14ac:dyDescent="0.25">
      <c r="C810" s="16"/>
    </row>
    <row r="811" spans="3:3" ht="13.2" x14ac:dyDescent="0.25">
      <c r="C811" s="16"/>
    </row>
    <row r="812" spans="3:3" ht="13.2" x14ac:dyDescent="0.25">
      <c r="C812" s="16"/>
    </row>
    <row r="813" spans="3:3" ht="13.2" x14ac:dyDescent="0.25">
      <c r="C813" s="16"/>
    </row>
    <row r="814" spans="3:3" ht="13.2" x14ac:dyDescent="0.25">
      <c r="C814" s="16"/>
    </row>
    <row r="815" spans="3:3" ht="13.2" x14ac:dyDescent="0.25">
      <c r="C815" s="16"/>
    </row>
    <row r="816" spans="3:3" ht="13.2" x14ac:dyDescent="0.25">
      <c r="C816" s="16"/>
    </row>
    <row r="817" spans="3:3" ht="13.2" x14ac:dyDescent="0.25">
      <c r="C817" s="16"/>
    </row>
    <row r="818" spans="3:3" ht="13.2" x14ac:dyDescent="0.25">
      <c r="C818" s="16"/>
    </row>
    <row r="819" spans="3:3" ht="13.2" x14ac:dyDescent="0.25">
      <c r="C819" s="16"/>
    </row>
    <row r="820" spans="3:3" ht="13.2" x14ac:dyDescent="0.25">
      <c r="C820" s="16"/>
    </row>
    <row r="821" spans="3:3" ht="13.2" x14ac:dyDescent="0.25">
      <c r="C821" s="16"/>
    </row>
    <row r="822" spans="3:3" ht="13.2" x14ac:dyDescent="0.25">
      <c r="C822" s="16"/>
    </row>
    <row r="823" spans="3:3" ht="13.2" x14ac:dyDescent="0.25">
      <c r="C823" s="16"/>
    </row>
    <row r="824" spans="3:3" ht="13.2" x14ac:dyDescent="0.25">
      <c r="C824" s="16"/>
    </row>
    <row r="825" spans="3:3" ht="13.2" x14ac:dyDescent="0.25">
      <c r="C825" s="16"/>
    </row>
    <row r="826" spans="3:3" ht="13.2" x14ac:dyDescent="0.25">
      <c r="C826" s="16"/>
    </row>
    <row r="827" spans="3:3" ht="13.2" x14ac:dyDescent="0.25">
      <c r="C827" s="16"/>
    </row>
    <row r="828" spans="3:3" ht="13.2" x14ac:dyDescent="0.25">
      <c r="C828" s="16"/>
    </row>
    <row r="829" spans="3:3" ht="13.2" x14ac:dyDescent="0.25">
      <c r="C829" s="16"/>
    </row>
    <row r="830" spans="3:3" ht="13.2" x14ac:dyDescent="0.25">
      <c r="C830" s="16"/>
    </row>
    <row r="831" spans="3:3" ht="13.2" x14ac:dyDescent="0.25">
      <c r="C831" s="16"/>
    </row>
    <row r="832" spans="3:3" ht="13.2" x14ac:dyDescent="0.25">
      <c r="C832" s="16"/>
    </row>
    <row r="833" spans="3:3" ht="13.2" x14ac:dyDescent="0.25">
      <c r="C833" s="16"/>
    </row>
    <row r="834" spans="3:3" ht="13.2" x14ac:dyDescent="0.25">
      <c r="C834" s="16"/>
    </row>
    <row r="835" spans="3:3" ht="13.2" x14ac:dyDescent="0.25">
      <c r="C835" s="16"/>
    </row>
    <row r="836" spans="3:3" ht="13.2" x14ac:dyDescent="0.25">
      <c r="C836" s="16"/>
    </row>
    <row r="837" spans="3:3" ht="13.2" x14ac:dyDescent="0.25">
      <c r="C837" s="16"/>
    </row>
    <row r="838" spans="3:3" ht="13.2" x14ac:dyDescent="0.25">
      <c r="C838" s="16"/>
    </row>
    <row r="839" spans="3:3" ht="13.2" x14ac:dyDescent="0.25">
      <c r="C839" s="16"/>
    </row>
    <row r="840" spans="3:3" ht="13.2" x14ac:dyDescent="0.25">
      <c r="C840" s="16"/>
    </row>
    <row r="841" spans="3:3" ht="13.2" x14ac:dyDescent="0.25">
      <c r="C841" s="16"/>
    </row>
    <row r="842" spans="3:3" ht="13.2" x14ac:dyDescent="0.25">
      <c r="C842" s="16"/>
    </row>
    <row r="843" spans="3:3" ht="13.2" x14ac:dyDescent="0.25">
      <c r="C843" s="16"/>
    </row>
    <row r="844" spans="3:3" ht="13.2" x14ac:dyDescent="0.25">
      <c r="C844" s="16"/>
    </row>
    <row r="845" spans="3:3" ht="13.2" x14ac:dyDescent="0.25">
      <c r="C845" s="16"/>
    </row>
    <row r="846" spans="3:3" ht="13.2" x14ac:dyDescent="0.25">
      <c r="C846" s="16"/>
    </row>
    <row r="847" spans="3:3" ht="13.2" x14ac:dyDescent="0.25">
      <c r="C847" s="16"/>
    </row>
    <row r="848" spans="3:3" ht="13.2" x14ac:dyDescent="0.25">
      <c r="C848" s="16"/>
    </row>
    <row r="849" spans="3:3" ht="13.2" x14ac:dyDescent="0.25">
      <c r="C849" s="16"/>
    </row>
    <row r="850" spans="3:3" ht="13.2" x14ac:dyDescent="0.25">
      <c r="C850" s="16"/>
    </row>
    <row r="851" spans="3:3" ht="13.2" x14ac:dyDescent="0.25">
      <c r="C851" s="16"/>
    </row>
    <row r="852" spans="3:3" ht="13.2" x14ac:dyDescent="0.25">
      <c r="C852" s="16"/>
    </row>
    <row r="853" spans="3:3" ht="13.2" x14ac:dyDescent="0.25">
      <c r="C853" s="16"/>
    </row>
    <row r="854" spans="3:3" ht="13.2" x14ac:dyDescent="0.25">
      <c r="C854" s="16"/>
    </row>
    <row r="855" spans="3:3" ht="13.2" x14ac:dyDescent="0.25">
      <c r="C855" s="16"/>
    </row>
    <row r="856" spans="3:3" ht="13.2" x14ac:dyDescent="0.25">
      <c r="C856" s="16"/>
    </row>
    <row r="857" spans="3:3" ht="13.2" x14ac:dyDescent="0.25">
      <c r="C857" s="16"/>
    </row>
    <row r="858" spans="3:3" ht="13.2" x14ac:dyDescent="0.25">
      <c r="C858" s="16"/>
    </row>
    <row r="859" spans="3:3" ht="13.2" x14ac:dyDescent="0.25">
      <c r="C859" s="16"/>
    </row>
    <row r="860" spans="3:3" ht="13.2" x14ac:dyDescent="0.25">
      <c r="C860" s="16"/>
    </row>
    <row r="861" spans="3:3" ht="13.2" x14ac:dyDescent="0.25">
      <c r="C861" s="16"/>
    </row>
    <row r="862" spans="3:3" ht="13.2" x14ac:dyDescent="0.25">
      <c r="C862" s="16"/>
    </row>
    <row r="863" spans="3:3" ht="13.2" x14ac:dyDescent="0.25">
      <c r="C863" s="16"/>
    </row>
    <row r="864" spans="3:3" ht="13.2" x14ac:dyDescent="0.25">
      <c r="C864" s="16"/>
    </row>
    <row r="865" spans="3:3" ht="13.2" x14ac:dyDescent="0.25">
      <c r="C865" s="16"/>
    </row>
    <row r="866" spans="3:3" ht="13.2" x14ac:dyDescent="0.25">
      <c r="C866" s="16"/>
    </row>
    <row r="867" spans="3:3" ht="13.2" x14ac:dyDescent="0.25">
      <c r="C867" s="16"/>
    </row>
    <row r="868" spans="3:3" ht="13.2" x14ac:dyDescent="0.25">
      <c r="C868" s="16"/>
    </row>
    <row r="869" spans="3:3" ht="13.2" x14ac:dyDescent="0.25">
      <c r="C869" s="16"/>
    </row>
    <row r="870" spans="3:3" ht="13.2" x14ac:dyDescent="0.25">
      <c r="C870" s="16"/>
    </row>
    <row r="871" spans="3:3" ht="13.2" x14ac:dyDescent="0.25">
      <c r="C871" s="16"/>
    </row>
    <row r="872" spans="3:3" ht="13.2" x14ac:dyDescent="0.25">
      <c r="C872" s="16"/>
    </row>
    <row r="873" spans="3:3" ht="13.2" x14ac:dyDescent="0.25">
      <c r="C873" s="16"/>
    </row>
    <row r="874" spans="3:3" ht="13.2" x14ac:dyDescent="0.25">
      <c r="C874" s="16"/>
    </row>
    <row r="875" spans="3:3" ht="13.2" x14ac:dyDescent="0.25">
      <c r="C875" s="16"/>
    </row>
    <row r="876" spans="3:3" ht="13.2" x14ac:dyDescent="0.25">
      <c r="C876" s="16"/>
    </row>
    <row r="877" spans="3:3" ht="13.2" x14ac:dyDescent="0.25">
      <c r="C877" s="16"/>
    </row>
    <row r="878" spans="3:3" ht="13.2" x14ac:dyDescent="0.25">
      <c r="C878" s="16"/>
    </row>
    <row r="879" spans="3:3" ht="13.2" x14ac:dyDescent="0.25">
      <c r="C879" s="16"/>
    </row>
    <row r="880" spans="3:3" ht="13.2" x14ac:dyDescent="0.25">
      <c r="C880" s="16"/>
    </row>
    <row r="881" spans="3:3" ht="13.2" x14ac:dyDescent="0.25">
      <c r="C881" s="16"/>
    </row>
    <row r="882" spans="3:3" ht="13.2" x14ac:dyDescent="0.25">
      <c r="C882" s="16"/>
    </row>
    <row r="883" spans="3:3" ht="13.2" x14ac:dyDescent="0.25">
      <c r="C883" s="16"/>
    </row>
    <row r="884" spans="3:3" ht="13.2" x14ac:dyDescent="0.25">
      <c r="C884" s="16"/>
    </row>
    <row r="885" spans="3:3" ht="13.2" x14ac:dyDescent="0.25">
      <c r="C885" s="16"/>
    </row>
    <row r="886" spans="3:3" ht="13.2" x14ac:dyDescent="0.25">
      <c r="C886" s="16"/>
    </row>
    <row r="887" spans="3:3" ht="13.2" x14ac:dyDescent="0.25">
      <c r="C887" s="16"/>
    </row>
    <row r="888" spans="3:3" ht="13.2" x14ac:dyDescent="0.25">
      <c r="C888" s="16"/>
    </row>
    <row r="889" spans="3:3" ht="13.2" x14ac:dyDescent="0.25">
      <c r="C889" s="16"/>
    </row>
    <row r="890" spans="3:3" ht="13.2" x14ac:dyDescent="0.25">
      <c r="C890" s="16"/>
    </row>
    <row r="891" spans="3:3" ht="13.2" x14ac:dyDescent="0.25">
      <c r="C891" s="16"/>
    </row>
    <row r="892" spans="3:3" ht="13.2" x14ac:dyDescent="0.25">
      <c r="C892" s="16"/>
    </row>
    <row r="893" spans="3:3" ht="13.2" x14ac:dyDescent="0.25">
      <c r="C893" s="16"/>
    </row>
    <row r="894" spans="3:3" ht="13.2" x14ac:dyDescent="0.25">
      <c r="C894" s="16"/>
    </row>
    <row r="895" spans="3:3" ht="13.2" x14ac:dyDescent="0.25">
      <c r="C895" s="16"/>
    </row>
    <row r="896" spans="3:3" ht="13.2" x14ac:dyDescent="0.25">
      <c r="C896" s="16"/>
    </row>
    <row r="897" spans="3:3" ht="13.2" x14ac:dyDescent="0.25">
      <c r="C897" s="16"/>
    </row>
    <row r="898" spans="3:3" ht="13.2" x14ac:dyDescent="0.25">
      <c r="C898" s="16"/>
    </row>
    <row r="899" spans="3:3" ht="13.2" x14ac:dyDescent="0.25">
      <c r="C899" s="16"/>
    </row>
    <row r="900" spans="3:3" ht="13.2" x14ac:dyDescent="0.25">
      <c r="C900" s="16"/>
    </row>
    <row r="901" spans="3:3" ht="13.2" x14ac:dyDescent="0.25">
      <c r="C901" s="16"/>
    </row>
    <row r="902" spans="3:3" ht="13.2" x14ac:dyDescent="0.25">
      <c r="C902" s="16"/>
    </row>
    <row r="903" spans="3:3" ht="13.2" x14ac:dyDescent="0.25">
      <c r="C903" s="16"/>
    </row>
    <row r="904" spans="3:3" ht="13.2" x14ac:dyDescent="0.25">
      <c r="C904" s="16"/>
    </row>
    <row r="905" spans="3:3" ht="13.2" x14ac:dyDescent="0.25">
      <c r="C905" s="16"/>
    </row>
    <row r="906" spans="3:3" ht="13.2" x14ac:dyDescent="0.25">
      <c r="C906" s="16"/>
    </row>
    <row r="907" spans="3:3" ht="13.2" x14ac:dyDescent="0.25">
      <c r="C907" s="16"/>
    </row>
    <row r="908" spans="3:3" ht="13.2" x14ac:dyDescent="0.25">
      <c r="C908" s="16"/>
    </row>
    <row r="909" spans="3:3" ht="13.2" x14ac:dyDescent="0.25">
      <c r="C909" s="16"/>
    </row>
    <row r="910" spans="3:3" ht="13.2" x14ac:dyDescent="0.25">
      <c r="C910" s="16"/>
    </row>
    <row r="911" spans="3:3" ht="13.2" x14ac:dyDescent="0.25">
      <c r="C911" s="16"/>
    </row>
    <row r="912" spans="3:3" ht="13.2" x14ac:dyDescent="0.25">
      <c r="C912" s="16"/>
    </row>
    <row r="913" spans="3:3" ht="13.2" x14ac:dyDescent="0.25">
      <c r="C913" s="16"/>
    </row>
    <row r="914" spans="3:3" ht="13.2" x14ac:dyDescent="0.25">
      <c r="C914" s="16"/>
    </row>
    <row r="915" spans="3:3" ht="13.2" x14ac:dyDescent="0.25">
      <c r="C915" s="16"/>
    </row>
    <row r="916" spans="3:3" ht="13.2" x14ac:dyDescent="0.25">
      <c r="C916" s="16"/>
    </row>
    <row r="917" spans="3:3" ht="13.2" x14ac:dyDescent="0.25">
      <c r="C917" s="16"/>
    </row>
    <row r="918" spans="3:3" ht="13.2" x14ac:dyDescent="0.25">
      <c r="C918" s="16"/>
    </row>
    <row r="919" spans="3:3" ht="13.2" x14ac:dyDescent="0.25">
      <c r="C919" s="16"/>
    </row>
    <row r="920" spans="3:3" ht="13.2" x14ac:dyDescent="0.25">
      <c r="C920" s="16"/>
    </row>
    <row r="921" spans="3:3" ht="13.2" x14ac:dyDescent="0.25">
      <c r="C921" s="16"/>
    </row>
    <row r="922" spans="3:3" ht="13.2" x14ac:dyDescent="0.25">
      <c r="C922" s="16"/>
    </row>
    <row r="923" spans="3:3" ht="13.2" x14ac:dyDescent="0.25">
      <c r="C923" s="16"/>
    </row>
    <row r="924" spans="3:3" ht="13.2" x14ac:dyDescent="0.25">
      <c r="C924" s="16"/>
    </row>
    <row r="925" spans="3:3" ht="13.2" x14ac:dyDescent="0.25">
      <c r="C925" s="16"/>
    </row>
    <row r="926" spans="3:3" ht="13.2" x14ac:dyDescent="0.25">
      <c r="C926" s="16"/>
    </row>
    <row r="927" spans="3:3" ht="13.2" x14ac:dyDescent="0.25">
      <c r="C927" s="16"/>
    </row>
    <row r="928" spans="3:3" ht="13.2" x14ac:dyDescent="0.25">
      <c r="C928" s="16"/>
    </row>
    <row r="929" spans="3:3" ht="13.2" x14ac:dyDescent="0.25">
      <c r="C929" s="16"/>
    </row>
    <row r="930" spans="3:3" ht="13.2" x14ac:dyDescent="0.25">
      <c r="C930" s="16"/>
    </row>
    <row r="931" spans="3:3" ht="13.2" x14ac:dyDescent="0.25">
      <c r="C931" s="16"/>
    </row>
    <row r="932" spans="3:3" ht="13.2" x14ac:dyDescent="0.25">
      <c r="C932" s="16"/>
    </row>
    <row r="933" spans="3:3" ht="13.2" x14ac:dyDescent="0.25">
      <c r="C933" s="16"/>
    </row>
    <row r="934" spans="3:3" ht="13.2" x14ac:dyDescent="0.25">
      <c r="C934" s="16"/>
    </row>
    <row r="935" spans="3:3" ht="13.2" x14ac:dyDescent="0.25">
      <c r="C935" s="16"/>
    </row>
    <row r="936" spans="3:3" ht="13.2" x14ac:dyDescent="0.25">
      <c r="C936" s="16"/>
    </row>
    <row r="937" spans="3:3" ht="13.2" x14ac:dyDescent="0.25">
      <c r="C937" s="16"/>
    </row>
    <row r="938" spans="3:3" ht="13.2" x14ac:dyDescent="0.25">
      <c r="C938" s="16"/>
    </row>
    <row r="939" spans="3:3" ht="13.2" x14ac:dyDescent="0.25">
      <c r="C939" s="16"/>
    </row>
    <row r="940" spans="3:3" ht="13.2" x14ac:dyDescent="0.25">
      <c r="C940" s="16"/>
    </row>
    <row r="941" spans="3:3" ht="13.2" x14ac:dyDescent="0.25">
      <c r="C941" s="16"/>
    </row>
    <row r="942" spans="3:3" ht="13.2" x14ac:dyDescent="0.25">
      <c r="C942" s="16"/>
    </row>
    <row r="943" spans="3:3" ht="13.2" x14ac:dyDescent="0.25">
      <c r="C943" s="16"/>
    </row>
    <row r="944" spans="3:3" ht="13.2" x14ac:dyDescent="0.25">
      <c r="C944" s="16"/>
    </row>
    <row r="945" spans="3:3" ht="13.2" x14ac:dyDescent="0.25">
      <c r="C945" s="16"/>
    </row>
    <row r="946" spans="3:3" ht="13.2" x14ac:dyDescent="0.25">
      <c r="C946" s="16"/>
    </row>
    <row r="947" spans="3:3" ht="13.2" x14ac:dyDescent="0.25">
      <c r="C947" s="16"/>
    </row>
    <row r="948" spans="3:3" ht="13.2" x14ac:dyDescent="0.25">
      <c r="C948" s="16"/>
    </row>
    <row r="949" spans="3:3" ht="13.2" x14ac:dyDescent="0.25">
      <c r="C949" s="16"/>
    </row>
    <row r="950" spans="3:3" ht="13.2" x14ac:dyDescent="0.25">
      <c r="C950" s="16"/>
    </row>
    <row r="951" spans="3:3" ht="13.2" x14ac:dyDescent="0.25">
      <c r="C951" s="16"/>
    </row>
    <row r="952" spans="3:3" ht="13.2" x14ac:dyDescent="0.25">
      <c r="C952" s="16"/>
    </row>
    <row r="953" spans="3:3" ht="13.2" x14ac:dyDescent="0.25">
      <c r="C953" s="16"/>
    </row>
    <row r="954" spans="3:3" ht="13.2" x14ac:dyDescent="0.25">
      <c r="C954" s="16"/>
    </row>
    <row r="955" spans="3:3" ht="13.2" x14ac:dyDescent="0.25">
      <c r="C955" s="16"/>
    </row>
    <row r="956" spans="3:3" ht="13.2" x14ac:dyDescent="0.25">
      <c r="C956" s="16"/>
    </row>
    <row r="957" spans="3:3" ht="13.2" x14ac:dyDescent="0.25">
      <c r="C957" s="16"/>
    </row>
    <row r="958" spans="3:3" ht="13.2" x14ac:dyDescent="0.25">
      <c r="C958" s="16"/>
    </row>
    <row r="959" spans="3:3" ht="13.2" x14ac:dyDescent="0.25">
      <c r="C959" s="16"/>
    </row>
    <row r="960" spans="3:3" ht="13.2" x14ac:dyDescent="0.25">
      <c r="C960" s="16"/>
    </row>
    <row r="961" spans="3:3" ht="13.2" x14ac:dyDescent="0.25">
      <c r="C961" s="16"/>
    </row>
    <row r="962" spans="3:3" ht="13.2" x14ac:dyDescent="0.25">
      <c r="C962" s="16"/>
    </row>
    <row r="963" spans="3:3" ht="13.2" x14ac:dyDescent="0.25">
      <c r="C963" s="16"/>
    </row>
    <row r="964" spans="3:3" ht="13.2" x14ac:dyDescent="0.25">
      <c r="C964" s="16"/>
    </row>
    <row r="965" spans="3:3" ht="13.2" x14ac:dyDescent="0.25">
      <c r="C965" s="16"/>
    </row>
    <row r="966" spans="3:3" ht="13.2" x14ac:dyDescent="0.25">
      <c r="C966" s="16"/>
    </row>
    <row r="967" spans="3:3" ht="13.2" x14ac:dyDescent="0.25">
      <c r="C967" s="16"/>
    </row>
    <row r="968" spans="3:3" ht="13.2" x14ac:dyDescent="0.25">
      <c r="C968" s="16"/>
    </row>
    <row r="969" spans="3:3" ht="13.2" x14ac:dyDescent="0.25">
      <c r="C969" s="16"/>
    </row>
    <row r="970" spans="3:3" ht="13.2" x14ac:dyDescent="0.25">
      <c r="C970" s="16"/>
    </row>
    <row r="971" spans="3:3" ht="13.2" x14ac:dyDescent="0.25">
      <c r="C971" s="16"/>
    </row>
    <row r="972" spans="3:3" ht="13.2" x14ac:dyDescent="0.25">
      <c r="C972" s="16"/>
    </row>
    <row r="973" spans="3:3" ht="13.2" x14ac:dyDescent="0.25">
      <c r="C973" s="16"/>
    </row>
    <row r="974" spans="3:3" ht="13.2" x14ac:dyDescent="0.25">
      <c r="C974" s="16"/>
    </row>
    <row r="975" spans="3:3" ht="13.2" x14ac:dyDescent="0.25">
      <c r="C975" s="16"/>
    </row>
    <row r="976" spans="3:3" ht="13.2" x14ac:dyDescent="0.25">
      <c r="C976" s="16"/>
    </row>
    <row r="977" spans="3:3" ht="13.2" x14ac:dyDescent="0.25">
      <c r="C977" s="16"/>
    </row>
    <row r="978" spans="3:3" ht="13.2" x14ac:dyDescent="0.25">
      <c r="C978" s="16"/>
    </row>
    <row r="979" spans="3:3" ht="13.2" x14ac:dyDescent="0.25">
      <c r="C979" s="16"/>
    </row>
    <row r="980" spans="3:3" ht="13.2" x14ac:dyDescent="0.25">
      <c r="C980" s="16"/>
    </row>
  </sheetData>
  <autoFilter ref="A1:Z980" xr:uid="{00000000-0009-0000-0000-000005000000}"/>
  <sortState xmlns:xlrd2="http://schemas.microsoft.com/office/spreadsheetml/2017/richdata2" ref="A2:N980">
    <sortCondition ref="C2:C9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A. Pastor</dc:creator>
  <cp:lastModifiedBy>Alejandro A. Pastor</cp:lastModifiedBy>
  <dcterms:modified xsi:type="dcterms:W3CDTF">2026-08-20T19:15:22Z</dcterms:modified>
</cp:coreProperties>
</file>